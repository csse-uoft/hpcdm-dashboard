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eggo/Dropbox/Housing Potential Shared Folder/HICC Ontology Report/Phase 3/HICC Report Distribution Dec 12/"/>
    </mc:Choice>
  </mc:AlternateContent>
  <xr:revisionPtr revIDLastSave="0" documentId="13_ncr:1_{CC70766C-98D2-C04C-89B0-F301119CC74F}" xr6:coauthVersionLast="47" xr6:coauthVersionMax="47" xr10:uidLastSave="{00000000-0000-0000-0000-000000000000}"/>
  <bookViews>
    <workbookView xWindow="160" yWindow="900" windowWidth="29920" windowHeight="16860" activeTab="3" xr2:uid="{00000000-000D-0000-FFFF-FFFF00000000}"/>
  </bookViews>
  <sheets>
    <sheet name="Summary" sheetId="4" r:id="rId1"/>
    <sheet name="Land Use and Zoning" sheetId="1" r:id="rId2"/>
    <sheet name="Development Feasibility" sheetId="2" r:id="rId3"/>
    <sheet name="Development Desirability (Quali"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4" l="1"/>
  <c r="D19" i="4"/>
  <c r="C19" i="4"/>
  <c r="B19" i="4"/>
  <c r="F19" i="4" s="1"/>
  <c r="E18" i="4"/>
  <c r="D18" i="4"/>
  <c r="C18" i="4"/>
  <c r="E17" i="4"/>
  <c r="C17" i="4"/>
  <c r="B18" i="4"/>
  <c r="D17" i="4"/>
  <c r="B17" i="4"/>
  <c r="C5" i="4"/>
  <c r="C4" i="4"/>
  <c r="B4" i="4"/>
  <c r="B5" i="4"/>
  <c r="C3" i="4"/>
  <c r="B3" i="4"/>
  <c r="D5" i="4" l="1"/>
  <c r="D3" i="4"/>
  <c r="F18" i="4"/>
  <c r="F17" i="4"/>
  <c r="D4" i="4"/>
  <c r="C6" i="4"/>
  <c r="B6" i="4"/>
  <c r="D6" i="4" l="1"/>
</calcChain>
</file>

<file path=xl/sharedStrings.xml><?xml version="1.0" encoding="utf-8"?>
<sst xmlns="http://schemas.openxmlformats.org/spreadsheetml/2006/main" count="330" uniqueCount="243">
  <si>
    <t>CQ</t>
  </si>
  <si>
    <t>Theme: Land Use and Zoning</t>
  </si>
  <si>
    <t>1. Where in the city does there exist vacant parcels of land?</t>
  </si>
  <si>
    <t>1a. What is the size of the parcel?</t>
  </si>
  <si>
    <t>1b. What is the perimeter of the parcel?</t>
  </si>
  <si>
    <t>2. Who owns parcel x?</t>
  </si>
  <si>
    <t>3. What use is parcel x zoned for, e.g., residential (single family, multifamily), commercial, mixed, industrial?</t>
  </si>
  <si>
    <t>3a. What is it currently being used for?</t>
  </si>
  <si>
    <t>3b. What is the current density of the neighbourhood?</t>
  </si>
  <si>
    <t>7a. What regulations exist on setbacks from road or adjacent parcels?</t>
  </si>
  <si>
    <t>7b. What regulations exist on FSR (Floor Surface Ratio)?</t>
  </si>
  <si>
    <t>7c. What height restriction exists?</t>
  </si>
  <si>
    <t>7d. What minimum lot size restriction exists?</t>
  </si>
  <si>
    <t>7e. Are there any (building) shape restrictions on the parcel?</t>
  </si>
  <si>
    <t>8a. How closely does recent development conform to setback regulations?</t>
  </si>
  <si>
    <t>8b How closely does recent development conform to FSR regulations?</t>
  </si>
  <si>
    <t>8c How closely does recent development conform to height restrictions?</t>
  </si>
  <si>
    <t>8d. How closely does recent development conform to minimum lot size restrictions?</t>
  </si>
  <si>
    <t>8e. How closely does recent development conform to shape restrictions?</t>
  </si>
  <si>
    <t>16. How many dwellings occupy the parcel?</t>
  </si>
  <si>
    <t>17. How many residents occupy the parcel?</t>
  </si>
  <si>
    <t>24b.What density policies apply to a parcel of land?</t>
  </si>
  <si>
    <t>24c. Does the parcel have the potential for mixed use development?
 Note: this is a variation on CQ-3</t>
  </si>
  <si>
    <t>31. What publicly owned parcels of land are available for current or future development?</t>
  </si>
  <si>
    <t>32c. What is the planned zoning for the parcel? What is the planned land use for the parcel?</t>
  </si>
  <si>
    <t>37. What is the zoned capacity for a parcel of land?</t>
  </si>
  <si>
    <t>40. What is the zoning of nearby parcels (note, this is a minor deviation from #3)</t>
  </si>
  <si>
    <t>41. Is the parcel currently occupied by any building(s)?</t>
  </si>
  <si>
    <t>41a. If so, what is the age and condition of the building?</t>
  </si>
  <si>
    <t>41b. Does the building have occupants?</t>
  </si>
  <si>
    <t>50. What vacant land does the federal government own? Which part of government owns it?
 (variation on CQ1)</t>
  </si>
  <si>
    <t>53. What buildings does the federal government own?</t>
  </si>
  <si>
    <t>54. Is the building vacant? Underutilized?</t>
  </si>
  <si>
    <t>56. What is the current use of the building?</t>
  </si>
  <si>
    <t>57. What is the building zoned for?</t>
  </si>
  <si>
    <t>Development Feasibility</t>
  </si>
  <si>
    <t>4. Does there exist any issues with the parcel, such as prior use (e.g., gas station, industrial waste) requiring remediation?</t>
  </si>
  <si>
    <t>5. Is the parcel accessible directly by road?</t>
  </si>
  <si>
    <t>5a. Fire and emergency access?</t>
  </si>
  <si>
    <t>6a. Is the parcel serviced by water?</t>
  </si>
  <si>
    <t>6b. Is the parcel serviced by wastewater?</t>
  </si>
  <si>
    <t>6c. Is the parcel serviced by electricity?</t>
  </si>
  <si>
    <t>9. How close are burdensome facilities (industrial plants, burdensome services, roads of supra-local significance)?</t>
  </si>
  <si>
    <t>10a. What is the capacity for schools to absorb increases in population?</t>
  </si>
  <si>
    <t>10b. What is the capacity for water services to absorb increases in population?</t>
  </si>
  <si>
    <t>10c. What is the capacity for wastewater to absorb increases in population?</t>
  </si>
  <si>
    <t>10d. What is the capacity for transport to absorb increases in population?</t>
  </si>
  <si>
    <t>11a. What is the population of the neighbourhood?</t>
  </si>
  <si>
    <t>11b. What is the annual income (average) of the neighbourhood?</t>
  </si>
  <si>
    <t>11c. What is the average rooms per home in the neighbourhood?</t>
  </si>
  <si>
    <t>11d. What is the average land per home in the neighbourhood?</t>
  </si>
  <si>
    <t>28c. Is the area currently serviced by electricity? What is the capacity?</t>
  </si>
  <si>
    <t>28d. Is the area currently serviced by waste disposal? What is the capacity?</t>
  </si>
  <si>
    <t>28f. Is the area currently serviced by fire and emergency services? What is the capacity?</t>
  </si>
  <si>
    <t>35a. For a parcel of land: What public utilities currently service the area? What is the capacity? What are the future expansion plans?</t>
  </si>
  <si>
    <t>37a. How do stated zoning capacities differ with the capacities of built projects over the past X years?</t>
  </si>
  <si>
    <t>Development desirability (quality)</t>
  </si>
  <si>
    <t>12. What is the amenity score for the parcel?</t>
  </si>
  <si>
    <t>12a. Is it 15 minutes to transportation?</t>
  </si>
  <si>
    <t>12b. Is it 15 minutes to schools?
 (What schools are in the area?) What is their capacity?
 What is their planned capacity?</t>
  </si>
  <si>
    <t>12c. Is it 15 minutes to food?</t>
  </si>
  <si>
    <t>12d. Is it 15 minutes to medical services?
 (What medical facilities and pharmacies are in the area?) What is their capacity? 
 What is their planned capacity?</t>
  </si>
  <si>
    <t>12e. Is it 15 minutes to parks?
 (What parks are in the area?) What is their planned capacity?</t>
  </si>
  <si>
    <t>12f. Is it 15 minutes to libraries?
 (What libraries are in the area?) What is their capacity?
 What is their planned capacity?</t>
  </si>
  <si>
    <t>13. What support services exist for lower income families?</t>
  </si>
  <si>
    <t>13a. Community centre/programmes</t>
  </si>
  <si>
    <t>13e. Senior services/home care</t>
  </si>
  <si>
    <t>29b. What parks are in the area? What is their capacity?</t>
  </si>
  <si>
    <t>29d. What childcare facilities are in the area? What is their capacity?
 What is their planned capacity?</t>
  </si>
  <si>
    <t>30a. What are the plans for greenspace in the area?</t>
  </si>
  <si>
    <t>30b. What is the planned density for the area?</t>
  </si>
  <si>
    <t>64. Is the vacant land close to a population centre?</t>
  </si>
  <si>
    <t>66. Is the vacant land close to employment opportunities?</t>
  </si>
  <si>
    <t>68. Is the building close to employment opportunities?</t>
  </si>
  <si>
    <t>Theme Total</t>
  </si>
  <si>
    <t>Total across themes</t>
  </si>
  <si>
    <t>CQ Formalization</t>
  </si>
  <si>
    <t>not available</t>
  </si>
  <si>
    <t>available at a high level only (zoning type)</t>
  </si>
  <si>
    <t>yes</t>
  </si>
  <si>
    <t>yes (census)</t>
  </si>
  <si>
    <t>Not expressible;
"shape restrictions" not defined</t>
  </si>
  <si>
    <t>not available at the parcel level, could attempt a rough approximation based on census numbers</t>
  </si>
  <si>
    <t>(Duplicate of 7b) Beyond this, we'd need an understanding and specification of what qualifies as a density policy (e.g. land use types)</t>
  </si>
  <si>
    <t>Note: it is difficult to query "mixed use" specifically, unless that is part of the land use code system being used</t>
  </si>
  <si>
    <t>"vacant, publicly owned land"</t>
  </si>
  <si>
    <t>Comments; Data availability</t>
  </si>
  <si>
    <t>max number dwelling units</t>
  </si>
  <si>
    <r>
      <t xml:space="preserve">no data (potentially computable based on the combination of several maps including building topology)
</t>
    </r>
    <r>
      <rPr>
        <b/>
        <sz val="10"/>
        <color rgb="FF000000"/>
        <rFont val="&quot;Aptos Narrow&quot;"/>
      </rPr>
      <t xml:space="preserve">Note: this and following queries on regulations should be amended to include a clause restricting the regulation to be defined in a (the current) bylaw
Note: this and following queries need to be fixed to refer to parcel </t>
    </r>
    <r>
      <rPr>
        <b/>
        <i/>
        <sz val="10"/>
        <color rgb="FF000000"/>
        <rFont val="&quot;Aptos Narrow&quot;"/>
      </rPr>
      <t>geometries</t>
    </r>
    <r>
      <rPr>
        <b/>
        <sz val="10"/>
        <color rgb="FF000000"/>
        <rFont val="&quot;Aptos Narrow&quot;"/>
      </rPr>
      <t xml:space="preserve"> for sfWithin</t>
    </r>
  </si>
  <si>
    <t>SPARQL</t>
  </si>
  <si>
    <t>Notes (general and data availability)</t>
  </si>
  <si>
    <t>Flagged for validation exercise</t>
  </si>
  <si>
    <t>would be interesting to investigate inference of these types;
currently, the definition is open-ended; we'd need to introduce a type system to implement this (if the data is available);
alternatively, we could formulate the query by looking at the history of the parcels' land use</t>
  </si>
  <si>
    <t>Omitted</t>
  </si>
  <si>
    <t>A few ways to compute this: true if the parcel has an address; true if the geometry intersects with a road segment's geometry, …</t>
  </si>
  <si>
    <t>Query assumes the existence of (implicit) catchment areas for wastewater service. There is available data on sewers (https://open.toronto.ca/dataset/sewer-gravity-mains/) but service information at the parcel level is not defined. 
How could it be approximated? 
* intersect the sewer geometry with the road network (check if there is a sewer on the stret where the parcel is located)
* use the "location description" field (but this is subject to errors as it is just a street name)
* calculate the distance between a point on the parcels' boundary to a point on the watermain and infer service based on some "reasonable" limit</t>
  </si>
  <si>
    <t>firestation (first response) catchment area data</t>
  </si>
  <si>
    <t>SELECT ?p ?dist WHERE {{
	?p hpcdm:use ex:industrial	#example of industrial land use instance
		5087-1:hasLocation [5087-1:hasGeometry ?g1].
	&lt;parcel&gt; 5087-1:hasLocation [5087-1:hasGeometry ?g2].
BIND (geof:distance(?g1, ?g2, uom:metre) AS ?dist)
}
UNION {
	&lt;parcel&gt; 5087-1:hasLocation [5087-1:hasGeometry ?g2].
	?p a 5087-2:RoadSegment;
		cdt:hasRoadClass ex:highway. #note: road class individuals TBD 
BIND (geof:distance(?g1, ?g2, uom:metre) AS ?dist)
}
}</t>
  </si>
  <si>
    <t>The detailed answer to this question is complicated and likely requires some modelling and simulation. The system-level answer may not be particularly useful. 
We can interpret a simplified version of this as: what is the available capacity of nearby elements of the transportation (road) network?</t>
  </si>
  <si>
    <t>Note: this query is implemented with a toronto specific term tor:Neighbourhood (as not all places have formally defined neighbourhoods); this data is not available directly in the census but may be approximated through an approximation of census tract data according to neighbourhood location. (For a more precise answer, the question may be posed according to census tract(s))
Note: the data has already been instantiated witht he census namespace (it has not been mapped to the specialized subclasses defined in the hpcdm)</t>
  </si>
  <si>
    <t>some overlap with 6c
Request for available capacity in progress with Toronto Hydro</t>
  </si>
  <si>
    <t>census data</t>
  </si>
  <si>
    <t>toronto hydro substation capacity data
ontario service area: https://experience.arcgis.com/experience/710b2687d8eb403a9163d7fbd0e09432/</t>
  </si>
  <si>
    <t>Theme</t>
  </si>
  <si>
    <t>CQs formalized</t>
  </si>
  <si>
    <t>CQs not expressible</t>
  </si>
  <si>
    <t>Total CQs</t>
  </si>
  <si>
    <t>Land Use and Zoning</t>
  </si>
  <si>
    <t>Development Desirability</t>
  </si>
  <si>
    <t>Total</t>
  </si>
  <si>
    <r>
      <t xml:space="preserve">not expressible directly, but </t>
    </r>
    <r>
      <rPr>
        <i/>
        <sz val="10"/>
        <color rgb="FF000000"/>
        <rFont val="&quot;Aptos Narrow&quot;"/>
      </rPr>
      <t xml:space="preserve">a </t>
    </r>
    <r>
      <rPr>
        <sz val="10"/>
        <color rgb="FF000000"/>
        <rFont val="&quot;Aptos Narrow&quot;"/>
      </rPr>
      <t>score could be computed based on distance measures (e.g. see queries on distance to specific types of amenities)</t>
    </r>
  </si>
  <si>
    <t>Not expressible;
""shape restrictions"" not defined
Data not available</t>
  </si>
  <si>
    <t>Failed to formalize</t>
  </si>
  <si>
    <t>We don't have catchment area data for water services, but we could ask: what is the capacity for "nearby services" to absorb increases in population?
Need to do some reasoning on the relationship between services at different levels; e.g. to which sub-services does a site of a service belong?</t>
  </si>
  <si>
    <r>
      <t xml:space="preserve">TBD: what are we really asking? Total land / num dwelling units in an area? Average parcel size? Total land / num buildings in an area?
Formalized here as average parcel area (of all parcels occupied by some dwelling unit) in the area
Average parcel size not available in census data but could be computed and stored in the graph, or possibly computed in the SPARQL query directly
An alternative would be to (pre-)compute and store the parcel size averages, then access as:
#format if average parcel area is computed and stored (as with census data)
SELECT ?n ?pop WHERE {
	&lt;parcel&gt; 5087-1:hasLocation [5087-1:hasGeometry ?g1].
	?n a tor:Neighbourhood;
		5087-2:hasLocation [5087-1:hasGeometry ?g2].
	?g1 geo:sfWithin ?g2.
	?pop_i a hpcem:AverageParcelSize;
		census:hasLocation ?n;
		21972:hasValue [21972:hasNumericalValue ?pop].
}
</t>
    </r>
    <r>
      <rPr>
        <b/>
        <sz val="10"/>
        <color rgb="FF000000"/>
        <rFont val="&quot;Aptos Narrow&quot;"/>
      </rPr>
      <t>***Note: missing a filter here: we don't necessarily want the average of all of the parcels, just the ones where homes are built -- either restrict by residential landuse or by parcel type</t>
    </r>
  </si>
  <si>
    <t>computable (geof:metricArea)
Consider whether it's better to store the values (shown here), or compute them on-the-fly with built-in functions (geoSPARQL)</t>
  </si>
  <si>
    <t>revise
not about the building about about the size of the lot it's on -- looking at (changes to) the actual parcels (where there has been recent development)</t>
  </si>
  <si>
    <t>TODO: add date filter to identify *recent* development for this and following CQs</t>
  </si>
  <si>
    <t>alternatively, could be computed on import (mapping);
seems less efficient (due to the number of parcels) so suggestion is to do this on demand as required for now</t>
  </si>
  <si>
    <t>&lt;- note: hasGeometry should be replaced with hasLocation for now</t>
  </si>
  <si>
    <t>Note: for this and similar queries - there is the possibility to query for hasAvailableCapacity and/or to compute the difference between the hasCapacity and hasCapacityInUse values (the best implementation might account for both)</t>
  </si>
  <si>
    <r>
      <t xml:space="preserve">The general query form assumes the existence of (implicit) catchment areas for water service. There is available data on the watermains (https://open.toronto.ca/dataset/watermains/) but service information at the parcel level is not defined. 
How could it be approximated? 
* intersect the watermain geometry with the road network (check if there is a watermain on the road segment corresponding to the parcel's address)
* use the "location description" field (but this is subject to errors as it is just a street name)
</t>
    </r>
    <r>
      <rPr>
        <b/>
        <sz val="10"/>
        <color rgb="FF000000"/>
        <rFont val="&quot;Aptos Narrow&quot;"/>
      </rPr>
      <t>* calculate the distance between the parcel's centre to a point on the watermain and infer service based on some "reasonable" limit; the center point may not always be appropriate (e.g. for very large lots) but is more conservative than measuring to the boundary</t>
    </r>
  </si>
  <si>
    <t>new: Is the land subject to any environmental risks (e.g. flooding)?</t>
  </si>
  <si>
    <t>Implementation Notes:</t>
  </si>
  <si>
    <t>For many queries we may need to adjust so that some of the triples are optional (e.g. certain attributes are missing)</t>
  </si>
  <si>
    <t>Notes for some queries on open vs closed world assumption - e.g. we assume a parcel without any building / infrastructure is vacant but we could just be missing the data point</t>
  </si>
  <si>
    <t>There could also be vacant buildings (we don't currently have data on this)</t>
  </si>
  <si>
    <t>Test</t>
  </si>
  <si>
    <t>Pass</t>
  </si>
  <si>
    <t>SELECT ?x ?y WHERE {
	?x a hp:Parcel.
    FILTER NOT EXISTS {?y a hp:Building;
        		 hp:occupies ?x}
}</t>
  </si>
  <si>
    <t xml:space="preserve">SELECT ?a ?u WHERE {
	?p a hp:Parcel;
		hp:hasArea [i72:hasValue [i72:hasNumericalValue ?a;
								i72:hasUnit ?u]].
} </t>
  </si>
  <si>
    <t>Result</t>
  </si>
  <si>
    <t>SELECT ?s WHERE {
    #?p a &lt;http://ontology.eil.utoronto.ca/HPCDM/Parcel&gt;.
    &lt;http://ontology.eil.utoronto.ca/Toronto/Toronto#Property5254870&gt; loc:hasLocation ?p_loc.
	?s a hp:FireEmergencyService;
		service:hasCatchmentArea ?s_loc.
	# the geometry of the parcel is within the geometry of the catchment area
	?p_loc geo:sfWithin ?s_loc.
}</t>
  </si>
  <si>
    <t>No data (synthetic data on development classifications not created)</t>
  </si>
  <si>
    <t>Randomly selected parcel</t>
  </si>
  <si>
    <t>Approximation (without catchment areas or parcel-level service data)</t>
  </si>
  <si>
    <t xml:space="preserve">ASK {
&lt;http://ontology.eil.utoronto.ca/Toronto/Toronto#Property5254870&gt; loc:hasLocation ?ploc.
    ?ploc geo:asWKT ?pwkt.
	?s a hp:WaterService;
		hp:providedFromSite [loc:hasLocation ?sloc].
    ?sloc geo:asWKT ?swkt.
	#(shortest) distance between the edge of the parcel and the service network
	BIND(geof:distance(?pwkt, ?swkt, uom:metre) AS ?distance)
	#limit distance to 30m
	FILTER (?distance &lt;= 30)
} </t>
  </si>
  <si>
    <t xml:space="preserve">ASK {
&lt;http://ontology.eil.utoronto.ca/Toronto/Toronto#Property5254870&gt; loc:hasLocation ?ploc.
    ?ploc geo:asWKT ?pwkt.
	?s a hp:WastewaterService;
		hp:providedFromSite [loc:hasLocation ?sloc].
    ?sloc geo:asWKT ?swkt.
	#(shortest) distance between the edge of the parcel and the service network
	BIND(geof:distance(?pwkt, ?swkt, uom:metre) AS ?distance)
	#limit distance to 30m
	FILTER (?distance &lt;= 30)
} </t>
  </si>
  <si>
    <t>Note: need to correct mapping (currently uses the class name "WasteWaterService"</t>
  </si>
  <si>
    <t>Pass with fault</t>
  </si>
  <si>
    <t>Note: query is for "nearby" schools in the absence of catchment area data</t>
  </si>
  <si>
    <t>Some mapping errors to be resolved</t>
  </si>
  <si>
    <t>SELECT ?s ?cap_avail WHERE {
    &lt;http://ontology.eil.utoronto.ca/Toronto/Toronto#Property5230346&gt; loc:hasLocation [geo:asWKT ?pwkt].
    ?s a hp:SchoolService;
    	hp:providedFromSite [loc:hasLocation [geo:asWKT ?swkt]].
	# the geometry of the parcel is within a 400m distance
    	#(shortest) distance between the edge of the parcel and the service network
	BIND(geof:distance(?pwkt, ?swkt, uom:metre) AS ?distance)
	#limit distance to 1500m
	FILTER (?distance &lt;= 1500)
    ?s res:capacityInUse [i72:hasValue [i72:hasNumericalValue ?c_use]].
    ?s res:hasCapacity [i72:hasValue [i72:hasNumericalValue ?c]].
    BIND((?c - ?c_use) AS ?cap_avail)
}</t>
  </si>
  <si>
    <t>SELECT ?s ?cap_avail WHERE {
    &lt;http://ontology.eil.utoronto.ca/Toronto/Toronto#Property5230346&gt; loc:hasLocation [geo:asWKT ?pwkt].
    ?s a hp:WasteWaterService;
    	hp:providedFromSite [loc:hasLocation [geo:asWKT ?swkt]].
	# the geometry of the parcel is within a 400m distance
    	#(shortest) distance between the edge of the parcel and the service network
	BIND(geof:distance(?pwkt, ?swkt, uom:metre) AS ?distance)
	#limit distance to 1500m
	FILTER (?distance &lt;= 1500)
    ?s res:capacityInUse [i72:hasValue [i72:hasNumericalValue ?c_use]].
    ?s res:hasCapacity [i72:hasValue [i72:hasNumericalValue ?c]].
    BIND((?c - ?c_use) AS ?cap_avail)
}</t>
  </si>
  <si>
    <t>Nearby service (sewer lines) approximation; no catchment area capacities</t>
  </si>
  <si>
    <t>ASK {
    &lt;http://ontology.eil.utoronto.ca/Toronto/Toronto#Property5230346&gt; loc:hasLocation [geo:asWKT ?pwkt].
    tor:ttc	cdt:providesService ?s.
    ?s hp:providedFromSite [loc:hasLocation [geo:asWKT ?swkt]]
	FILTER(geof:distance(?pwkt, ?swkt, uom:metre) &lt; 400) #within 400m
}</t>
  </si>
  <si>
    <t>using a proxy of 400 m
interpreted as public transport (transit system)
Query simplified once mapping is corrected</t>
  </si>
  <si>
    <t>#15min to schools?
ask {
    &lt;http://ontology.eil.utoronto.ca/Toronto/Toronto#Property5230346&gt; loc:hasLocation [geo:asWKT ?pwkt].
    ?s a hp:SchoolService.
    ?s hp:providedFromSite [loc:hasLocation [geo:asWKT ?swkt]]
	FILTER(geof:distance(?pwkt, ?swkt, uom:metre) &lt; 400) #within 400m
#    ?s res:hasCapacity [i72:hasValue [i72:hasNumericalValue ?capacity]]
}
#schools in the area (1.5km) and capacity
select * {
    &lt;http://ontology.eil.utoronto.ca/Toronto/Toronto#Property5230346&gt; loc:hasLocation [geo:asWKT ?pwkt].
    ?s a hp:SchoolService.
    ?s hp:providedFromSite [loc:hasLocation [geo:asWKT ?swkt]]
	FILTER(geof:distance(?pwkt, ?swkt, uom:metre) &lt; 1500) #within 400m
    ?s res:hasCapacity [i72:hasValue [i72:hasNumericalValue ?capacity]]
    OPTIONAL {
        ?s hp:hasPlannedCapacity [i72:hasValue [i72:hasNumericalValue ?plannedcapacity]]
    }
}</t>
  </si>
  <si>
    <t>ASK {
    &lt;http://ontology.eil.utoronto.ca/Toronto/Toronto#Property5230346&gt; loc:hasLocation [geo:asWKT ?pwkt].
    ?s a cdt:SupermarketService.
    ?s hp:providedFromSite [loc:hasLocation [geo:asWKT ?swkt]]
	FILTER(geof:distance(?pwkt, ?swkt, uom:metre) &lt; 400) #within 400m
}</t>
  </si>
  <si>
    <t>select * {
    &lt;http://ontology.eil.utoronto.ca/Toronto/Toronto#Property5230346&gt; loc:hasLocation [geo:asWKT ?pwkt].
	?s a cdt:ParkService.
    ?s hp:providedFromSite [loc:hasLocation [geo:asWKT ?swkt]].
	FILTER(geof:distance(?pwkt, ?swkt, uom:metre) &lt; 400) #within 400m
	?s res:hasCapacity [i72:hasValue [i72:hasNumericalValue ?capacity;
            i72:hasUnit ?capacity_unit]].
    OPTIONAL {
        ?s hp:hasPlannedCapacity [i72:hasValue [i72:hasNumericalValue ?plannedcapacity]]
    }
}</t>
  </si>
  <si>
    <t>select * {
    &lt;http://ontology.eil.utoronto.ca/Toronto/Toronto#Property5230346&gt; loc:hasLocation [geo:asWKT ?pwkt].
	?s a hp:CommunityCentreService.
    ?s hp:providedFromSite [loc:hasLocation [geo:asWKT ?swkt]].
	FILTER(geof:distance(?pwkt, ?swkt, uom:metre) &lt; 400) #within 400m
	?s res:hasCapacity [i72:hasValue [i72:hasNumericalValue ?capacity;
            i72:hasUnit ?capacity_unit]].
    OPTIONAL {
        ?s hp:hasPlannedCapacity [i72:hasValue [i72:hasNumericalValue ?plannedcapacity]]
    }
}</t>
  </si>
  <si>
    <t>select * {
    &lt;http://ontology.eil.utoronto.ca/Toronto/Toronto#Property5230346&gt; loc:hasLocation [geo:asWKT ?pwkt].
	?s a hp:SeniorCareService.
    ?s hp:providedFromSite [loc:hasLocation [geo:asWKT ?swkt]].
	FILTER(geof:distance(?pwkt, ?swkt, uom:metre) &lt; 400) #within 400m
	?s res:hasCapacity [i72:hasValue [i72:hasNumericalValue ?capacity;
            i72:hasUnit ?capacity_unit]].
    OPTIONAL {
        ?s hp:hasPlannedCapacity [i72:hasValue [i72:hasNumericalValue ?plannedcapacity]]
    }
}</t>
  </si>
  <si>
    <t>Aside - this is a near duplicate of 12e; changed distance to 1km</t>
  </si>
  <si>
    <t>select * {
    &lt;http://ontology.eil.utoronto.ca/Toronto/Toronto#Property5230346&gt; loc:hasLocation [geo:asWKT ?pwkt].
	?s a cdt:ParkService.
    ?s hp:providedFromSite [loc:hasLocation [geo:asWKT ?swkt]].
	FILTER(geof:distance(?pwkt, ?swkt, uom:metre) &lt; 1000) #within 1000m
	?s res:hasCapacity [i72:hasValue [i72:hasNumericalValue ?capacity;
            i72:hasUnit ?capacity_unit]].
    OPTIONAL {
        ?s hp:hasPlannedCapacity [i72:hasValue [i72:hasNumericalValue ?plannedcapacity]]
    }
}</t>
  </si>
  <si>
    <t>select * {
    &lt;http://ontology.eil.utoronto.ca/Toronto/Toronto#Property5230346&gt; loc:hasLocation [geo:asWKT ?pwkt].
	?s a hp:ChildcareService.
    ?s hp:providedFromSite [loc:hasLocation [geo:asWKT ?swkt]].
	FILTER(geof:distance(?pwkt, ?swkt, uom:metre) &lt; 1000) #within 2000m
	?s res:hasCapacity [i72:hasValue [i72:hasNumericalValue ?capacity;
            i72:hasUnit ?capacity_unit]].
    OPTIONAL {
        ?s hp:hasPlannedCapacity [i72:hasValue [i72:hasNumericalValue ?plannedcapacity]]
    }
}</t>
  </si>
  <si>
    <t>Note: capacity data is incomplete - only hospitals are captured (not all medical facilities) to-date</t>
  </si>
  <si>
    <t>select * {
    &lt;http://ontology.eil.utoronto.ca/Toronto/Toronto#Property5230346&gt; loc:hasLocation [geo:asWKT ?pwkt].
	?s a hp:HospitalService.
    ?s hp:providedFromSite [loc:hasLocation [geo:asWKT ?swkt]].
	FILTER(geof:distance(?pwkt, ?swkt, uom:metre) &lt; 40000) #within 4000m
    OPTIONAL {?s res:hasCapacity [i72:hasValue [i72:hasNumericalValue ?capacity;
            									i72:hasUnit ?unit]]}
        OPTIONAL {?s res:capacityInUse [i72:hasValue [i72:hasNumericalValue ?usedcapacity;
            										i72:hasUnit ?unit]]}
    OPTIONAL {
        ?s hp:hasPlannedCapacity [i72:hasValue [i72:hasNumericalValue ?plannedcapacity]]
    }
}</t>
  </si>
  <si>
    <t>No setback data</t>
  </si>
  <si>
    <t xml:space="preserve">SELECT * WHERE {
	?p a hp:Parcel;
		hp:hasPerimeter [i72:hasValue [i72:hasNumericalValue ?a;
								i72:hasUnit ?u]].
} </t>
  </si>
  <si>
    <t>SELECT * WHERE {
	&lt;http://ontology.eil.utoronto.ca/Toronto/Toronto#Property5230346&gt; a hp:Parcel;
		hp:ownership ?o.
}</t>
  </si>
  <si>
    <t>SELECT * WHERE {
#	tor:Property5230346 a hp:Parcel.
    ?p a hp:Parcel.
    ?b hp:occupies ?p;
		bdg:use ?use.
}</t>
  </si>
  <si>
    <t>No data on actual land use; instead, we can query for the use of any buildings that occupy the parcel;
Note: not all buildings have defined uses</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</si>
  <si>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hp:designatesZoningType ?zt.
    #the regulation that applies to a particular zoning type
    ?reg2 opr:forZoning ?zt;
   		 hp:specifiesConstraint [i72:hasValue [i72:hasNumericalValue ?limit;
        							i72:hasUnit ?unit];
        hp:constrains [i72:parameter_of_var [i72:hasName hp:hasArea];
        			i72:minimum_of ?p]].
    ?p rdf:type [i72:defined_by ?constrained_class].
    #check for the population type (in case there is a regulation on another type of area)
?area loc:hasLocation ?loc.
    #regulations that apply to an area that the parcel is located in
    ?ploc geo:sfWithin ?loc.
}</t>
  </si>
  <si>
    <t>Note: consider opportunities for reasoning that could simplify the query format required (we should be able to infer the area(s) that ?reg2 applies to, based on the area that ?reg is defined for)</t>
  </si>
  <si>
    <t>N/A</t>
  </si>
  <si>
    <t>SELECT * WHERE {
    #if we are looking for the neighbourhood of a specific parcel
    &lt;http://ontology.eil.utoronto.ca/Toronto/Toronto#Property5230346&gt; loc:hasLocation ?ploc.
    ?x a cacensus:PopulationDensity2016;
    cacensus:hasLocation ?characteristic_area;
		i72:hasValue [i72:hasNumericalValue ?density;
    				i72:hasUnit ?density_unit].
    ?characteristic_area tor:inNeighborhood [loc_old:hasLocation ?nloc;
        									rdfs:comment ?neighbourhood_name].
    #find the neighbourhood the parcel is located in
    ?ploc geo:sfWithin ?nloc.
}</t>
  </si>
  <si>
    <t>Note: neighbourhood-level estimates of the census characteristics aren't currently stored in the graph (this query returns the value for all census tracts in the neighbourhood). Will be incorporating neighbourhood-level estimates in the next iteration.</t>
  </si>
  <si>
    <t>Note: the census mapping defines the wrong unit for density (should be persons per square km)</t>
  </si>
  <si>
    <t>Don't have parcel-level data but we can estimate based on the ratio of the parcel's area to the area of its census tract. (i.e., as was done with neighbourhoods)</t>
  </si>
  <si>
    <t>SELECT * WHERE {
&lt;http://ontology.eil.utoronto.ca/Toronto/Toronto#Property5230346&gt; a hp:Parcel;
    loc:hasLocation ?ploc.
    ?plot geo:asWKT ?pwkt.
?char a cacensus:TotalPrivateDwellings2016;
	cacensus:hasLocation ?ct;
	i72:hasValue [i72:hasNumericalValue ?num_dwellings].
    ?ct loc_old:hasLocation ?ctloc.
    ?ctloc geo:asWKT ?ctwkt.
    ?ploc geo:sfWithin ?ctloc.
    BIND((geoext:area(?pwkt)/geoext:area(?ctwkt)) AS ?percent_area)
    BIND((?num_dwellings * ?percent_area) AS ?est_num_dwellngs)
}</t>
  </si>
  <si>
    <t>SELECT * WHERE {
&lt;http://ontology.eil.utoronto.ca/Toronto/Toronto#Property5230346&gt; a hp:Parcel;
    loc:hasLocation ?ploc.
    ?plot geo:asWKT ?pwkt.
?char a cacensus:Population2016;
	cacensus:hasLocation ?ct;
	i72:hasValue [i72:hasNumericalValue ?num_dwellings].
    ?ct loc_old:hasLocation ?ctloc.
    ?ctloc geo:asWKT ?ctwkt.
    ?ploc geo:sfWithin ?ctloc.
    BIND((geoext:area(?pwkt)/geoext:area(?ctwkt)) AS ?percent_area)
    BIND((?num_dwellings * ?percent_area) AS ?est_num_dwellngs)
}</t>
  </si>
  <si>
    <t>as above</t>
  </si>
  <si>
    <t>ASK {
	&lt;http://ontology.eil.utoronto.ca/Toronto/Toronto#Property5230346&gt; a hp:Parcel;
    	loc:hasLocation ?ploc.
#should specify reg defined in bylaw
    ?reg hp:definedFor [loc:hasLocation ?regloc].
    #regulation applies to parcel's location
   ?ploc geo:sfWithin ?regloc.    
	?reg hp:designatesZoningType [oz:allowsUse ?use].
    FILTER(?use="&lt;http://ontology.eil.utoronto.ca/Toronto/Toronto#MixedUseResidential")
}</t>
  </si>
  <si>
    <t>Near repeat of CQ3;
Note - unclear why but specifying tor:MixedUseResidential directly in the pattern with oz:allowsUse causes the query to time out.</t>
  </si>
  <si>
    <t>SELECT ?parcel WHERE {
	?parcel hp:ownership [a org_city:GovernmentOrganization].
    FILTER NOT EXISTS {?x hp:occupies ?parcel}
}</t>
  </si>
  <si>
    <t>Near repeat of CQ3</t>
  </si>
  <si>
    <t>ASK {
    ?b hp:occupies &lt;http://ontology.eil.utoronto.ca/Toronto/Toronto#Property5230346&gt;;
    	a hp:Building.
}</t>
  </si>
  <si>
    <t>SELECT * {
   ?b hp:occupies &lt;http://ontology.eil.utoronto.ca/Toronto/Toronto#Property5230346&gt;;
    	a hp:Building;
	    bdg:yearOfConstruction [time:year ?year].
    OPTIONAL {?b hp:hasCondition [code:hasCode [genprop:hasName ?condition]]}
}</t>
  </si>
  <si>
    <t>No condition data</t>
  </si>
  <si>
    <t>SELECT * {
   ?b hp:occupies &lt;http://ontology.eil.utoronto.ca/Toronto/Toronto#Property5230346&gt;;
    	a hp:Building.
    OPTIONAL {?b hp:occupiedBy ?o}
}</t>
  </si>
  <si>
    <t>Near repeat of 31;
Note no federally owned land captured in the dataset</t>
  </si>
  <si>
    <t xml:space="preserve">
#assume hpcdm:can_federal_government is the identifier for the Federal Government
SELECT ?building WHERE {
	?building hp:ownership hp:governmentofcanada.
}</t>
  </si>
  <si>
    <t>SELECT * WHERE {{
	?building hp:ownership hp:governmentofcanada
    FILTER NOT EXISTS {?building hp:occupiedBy ?o}
}	
UNION
{
	?building hp:ownership hp:governmentofcanada
FILTER NOT EXISTS {?building bdg:hasBuildingUnit [hp:occupiedBy ?o]}
    }}</t>
  </si>
  <si>
    <t>SELECT * WHERE {
	&lt;http://ontology.eil.utoronto.ca/Toronto/Toronto#Property5230346&gt; a hp:Parcel;
    	loc:hasLocation ?ploc.
    ?reg hp:definedFor [loc:hasLocation ?regloc];
		hp:designatesZoningType [oz:allowsUse ?use].
    #regulation applies to parcel's location
    ?ploc geo:sfWithin ?regloc.
}</t>
  </si>
  <si>
    <t>SELECT * WHERE {
	&lt;http://ontology.eil.utoronto.ca/Toronto/Toronto#Property5230346&gt; a hp:Parcel;
    	loc:hasLocation ?ploc.
    ?reg hp:definedFor [loc:hasLocation ?regloc];
hp:definedIn [a hp:Plan];
		hp:designatesZoningType [oz:allowsUse ?use].
    #regulation applies to parcel's location
    ?ploc geo:sfWithin ?regloc.
}</t>
  </si>
  <si>
    <t>SELECT * WHERE {
    &lt;http://ontology.eil.utoronto.ca/Toronto/Toronto#Buildinga9257bf45927fdbceba349ee083dd0dd&gt; hp:occupies ?p.
	?p loc:hasLocation ?ploc.
	?ploc geo:sfIntersects ?regloc.
    ?source hp:definesRegulation ?reg.
    ?source a hp:ZoningBylaw.
	?reg a hp:Regulation;
    hp:definedFor [loc:hasLocation ?regloc];
		hp:designatesZoningType [oz:allowsUse ?landuse]
}</t>
  </si>
  <si>
    <t>Note: this instance required the use of sfIntersects; for more complete results we need to run multiple versions of these queries with sfWithin, sfIntersects</t>
  </si>
  <si>
    <t xml:space="preserve">SELECT * WHERE {
   &lt;http://ontology.eil.utoronto.ca/Toronto/Toronto#Property5230346&gt; loc:hasLocation [geo:asWKT ?pwkt].
    #temporary until mapping issues resolved
    ?x a &lt;http://ontology.eil.utoronto.ca/CDT/Library&gt;;
    	&lt;http://ontology.eil.utoronto.ca/CDT/providesService&gt; ?s.
    ?s hp:providedFromSite [loc:hasLocation [geo:asWKT ?swkt]].
	FILTER(geof:distance(?pwkt, ?swkt, uom:metre) &lt; 400) #within 400m
	?s res:hasCapacity [i72:hasValue [i72:hasNumericalValue ?capacity;
            i72:hasUnit ?capacity_unit]].
    OPTIONAL {
        ?s hp:hasPlannedCapacity [i72:hasValue [i72:hasNumericalValue ?plannedcapacity]]
    }
} </t>
  </si>
  <si>
    <t>select * {
    &lt;http://ontology.eil.utoronto.ca/Toronto/Toronto#Property5230346&gt; loc:hasLocation [geo:asWKT ?pwkt].
?reg a hp:Regulation;
		# hp:definedIn [a hpcdm:Plan];	#ideally, we'd have some more attributes to identify the plan(s) of interest
    hp:definedFor [loc:hasLocation [geo:asWKT ?regwkt]];
    hp:designatesZoningType [oz:allowsUse &lt;http://ontology.eil.utoronto.ca/Toronto/Toronto#NaturalConservationAreas&gt;].
	FILTER(geof:distance(?pwkt, ?regwkt, uom:metre) &lt; 4000) #within 400m
}</t>
  </si>
  <si>
    <t>No building occupancy data available; no synthetic data created</t>
  </si>
  <si>
    <t>No building ownership data; no synthetic data created</t>
  </si>
  <si>
    <t>SELECT * WHERE {
	&lt;http://ontology.eil.utoronto.ca/Toronto/Toronto#Buildinga9257bf45927fdbceba349ee083dd0dd&gt; bdg:use ?use.		
}</t>
  </si>
  <si>
    <t>In the absence of a dataset on development classifications, future work should look at defining inference rules based on historical parcel use (though without historical land use data this would also not be sufficient)</t>
  </si>
  <si>
    <t>Future work: add rule to enable rules of the form:
ASK WHERE {
	&lt;parcel&gt;hp:hasRoadAccess "true"^^xsd:boolean
}</t>
  </si>
  <si>
    <t>ASK {
    &lt;http://ontology.eil.utoronto.ca/Toronto/Toronto#Property5230346&gt; hp:hasDevelopmentClassification tor:brownfield
}</t>
  </si>
  <si>
    <t>SELECT * {
    &lt;http://ontology.eil.utoronto.ca/Toronto/Toronto#Property5230346&gt; loc:hasLocation ?ploc.
    ?ploc geo:asWKT ?pwkt.
    ?road a &lt;http://ontology.eil.utoronto.ca/CDT/RoadLink&gt;;
    	loc:hasLocation ?roadloc.
    ?roadloc geo:asWKT ?swkt.
    	BIND(geof:distance(?pwkt, ?swkt, uom:metre) AS ?distance)
    FILTER(?distance &lt;= 20)
}</t>
  </si>
  <si>
    <t>Estimated based on min distance of 20 m.</t>
  </si>
  <si>
    <t>No data on use (can query for industrial zoning regulations instead) E.g. use http://ontology.eil.utoronto.ca/Toronto/Toronto#HeavyIndustrialUses in this query</t>
  </si>
  <si>
    <t>SELECT * WHERE {
	&lt;http://ontology.eil.utoronto.ca/Toronto/Toronto#Property5230346&gt; a hp:Parcel;
    	loc:hasLocation ?ploc.
    ?ploc geo:asWKT ?pwkt.
    ?reg hp:definedFor [loc:hasLocation [geo:asWKT ?regwkt]];
		hp:designatesZoningType [oz:allowsUse &lt;http://ontology.eil.utoronto.ca/Toronto/Toronto#HeavyIndustrialUses&gt;].
    #distance to locations allowing heavy industrial uses
	BIND(geof:distance(?pwkt, ?regwkt, uom:metre) AS ?distance)
}
SELECT * WHERE {
	&lt;http://ontology.eil.utoronto.ca/Toronto/Toronto#Property5230346&gt; a hp:Parcel;
    	loc:hasLocation ?ploc.
    ?ploc geo:asWKT ?pwkt.
    ?road a &lt;http://ontology.eil.utoronto.ca/CDT/RoadLink&gt;;
  	  &lt;http://ontology.eil.utoronto.ca/CDT/hasRoadClass&gt; [code:hasCode [genprop:hasName ?road_class]];
    loc:hasLocation [geo:asWKT ?rwkt].
    FILTER ((?road_class ="Expressway / Highway")|| (?road_class="Freeway")) #ideally should use the code instead of name as a filter here
    #distance to locations allowing heavy industrial uses
	BIND(geof:distance(?pwkt, ?rwkt, uom:metre) AS ?distance)
}</t>
  </si>
  <si>
    <t>Note: update to align with other service patterns</t>
  </si>
  <si>
    <t>SELECT * {
    &lt;http://ontology.eil.utoronto.ca/Toronto/Toronto#Property5230346&gt; loc:hasLocation ?ploc.
    ?ploc geo:asWKT ?pwkt.
    ?road a &lt;http://ontology.eil.utoronto.ca/CDT/RoadLink&gt;;
    	loc:hasLocation ?roadloc.
    ?roadloc geo:asWKT ?swkt.
    	BIND(geof:distance(?pwkt, ?swkt, uom:metre) AS ?distance)
    FILTER(?distance &lt;= 5000)
    ?road res:hasAvailableCapacity [i72:hasValue [i72:hasNumericalValue ?available_capacity;
        											i72:hasUnit ?capacity_unit]].
}</t>
  </si>
  <si>
    <t>SELECT * WHERE {
    #if we are looking for the neighbourhood of a specific parcel
    &lt;http://ontology.eil.utoronto.ca/Toronto/Toronto#Property5230346&gt; loc:hasLocation ?ploc.
    #characteristic values for census tracts within a neighbourhood
    ?x a cacensus:Population2016;
    cacensus:hasLocation ?characteristic_area;
		i72:hasValue [i72:hasNumericalValue ?population;
    				i72:hasUnit ?unit].
    ?characteristic_area tor:inNeighborhood [loc_old:hasLocation ?nloc;
        									rdfs:comment ?neighbourhood_name].
    #find the neighbourhood the parcel is located in
    ?ploc geo:sfWithin ?nloc.
}</t>
  </si>
  <si>
    <t>Note: consider where to implement census characteristic aggregation at the neighbourhood (or arbitrary area) level</t>
  </si>
  <si>
    <t>SELECT * WHERE {
    #if we are looking for the neighbourhood of a specific parcel
    &lt;http://ontology.eil.utoronto.ca/Toronto/Toronto#Property5230346&gt; loc:hasLocation ?ploc.
    #characteristic values for census tracts within a neighbourhood
    ?x a cacensus:AverageAfterTaxIncome25Sample2016;
    cacensus:hasLocation ?characteristic_area;
		i72:hasValue [i72:hasNumericalValue ?average_income;
    				i72:hasUnit ?unit].
    ?characteristic_area tor:inNeighborhood [loc_old:hasLocation ?nloc;
        									rdfs:comment ?neighbourhood_name].
    #find the neighbourhood the parcel is located in
    ?ploc geo:sfWithin ?nloc.
}</t>
  </si>
  <si>
    <t>SELECT * WHERE {
    #if we are looking for the neighbourhood of a specific parcel
    &lt;http://ontology.eil.utoronto.ca/Toronto/Toronto#Property5230346&gt; loc:hasLocation ?ploc.
    #characteristic values for census tracts within a neighbourhood
    ?x a cacensus:AverageNumberOfRoomsPerDwelling2016;
    cacensus:hasLocation ?characteristic_area;
		i72:hasValue [i72:hasNumericalValue ?rooms_per_dwelling;
    				i72:hasUnit ?unit].
    ?characteristic_area tor:inNeighborhood [loc_old:hasLocation ?nloc;
        									rdfs:comment ?neighbourhood_name].
    #find the neighbourhood the parcel is located in
    ?ploc geo:sfWithin ?nloc.
}</t>
  </si>
  <si>
    <t>SELECT ?s ?wkt_s ?cap ?unit WHERE {
    &lt;parcel&gt; loc:hasLocation ?loc_p.
    ?loc_p geo:asWKT ?wkt_p.
	?s a hp:SolidWasteService;
		service:hasCatchmentArea ?loc_s.
    ?loc_s geo:asWKT ?wkt_s.
	# the geometry of the parcel is within the geometry of the catchment area
	?loc_p geo:sfWithin ?loc_s.
    #capacity
    ?s res:hasCapacity [i72:hasValue [i72:hasNumericalValue ?cap;
        								i72:hasUnit ?unit]].
}</t>
  </si>
  <si>
    <t>SELECT ?s ?capacity ?capacity_use ?unit WHERE {
    #?p a &lt;http://ontology.eil.utoronto.ca/HPCDM/Parcel&gt;.
    &lt;http://ontology.eil.utoronto.ca/Toronto/Toronto#Property5254870&gt; loc:hasLocation ?p_loc.
	?s a hp:FireEmergencyService;
		service:hasCatchmentArea ?s_loc;
    	    res:hasCapacity [i72:hasValue [i72:hasNumericalValue ?capacity;
        							i72:hasUnit ?unit]];
            res:capacityInUse [i72:hasValue [i72:hasNumericalValue ?capacity_use;
                    i72:hasUnit ?unit]].
	# the geometry of the parcel is within the geometry of the catchment area
	?p_loc geo:sfWithin ?s_loc.
}</t>
  </si>
  <si>
    <t>SELECT ?s WHERE {
    #check for nearby service site locations
    {
    &lt;http://ontology.eil.utoronto.ca/Toronto/Toronto#Property5254870&gt; loc:hasLocation [geo:asWKT ?pwkt].
	?s a hp:Utility;
    	hp:providedFromSite [loc:hasLocation [geo:asWKT ?swkt]];
        res:hasCapacity [i72:hasValue [i72:hasNumericalValue ?capacity;
        							i72:hasUnit ?unit]].
    OPTIONAL {
    	?s hp:hasPlannedCapacity [i72:hasValue [i72:hasNumericalValue ?planned_capacity;
                    						i72:hasUnit ?unit]].
        }
	BIND(geof:distance(?pwkt, ?swkt, uom:metre) AS ?distance)
    #"in the area" 400m
    FILTER(?distance &lt;= 400)
}
    UNION 
    #check for nearby catchment areas
    {
    &lt;http://ontology.eil.utoronto.ca/Toronto/Toronto#Property5254870&gt; loc:hasLocation [geo:asWKT ?pwkt].
	?s a hp:Utility;
    	service:hasCatchmentArea [geo:asWKT ?swkt];
        res:hasCapacity [i72:hasValue [i72:hasNumericalValue ?capacity;
        							i72:hasUnit ?unit]].
    OPTIONAL {
    	?s hp:hasPlannedCapacity [i72:hasValue [i72:hasNumericalValue ?planned_capacity;
                    						i72:hasUnit ?unit]].
        }
	BIND(geof:distance(?pwkt, ?swkt, uom:metre) AS ?distance)
    #"in the area" 400m
    FILTER(?distance &lt;= 400)
    }
}</t>
  </si>
  <si>
    <t>Pass with missing data</t>
  </si>
  <si>
    <t>Uses approximation of dwellings on a parcel (as in CQ 16);
Missing max number of dwellings (units) from bylaw data (defined but not populated)</t>
  </si>
  <si>
    <t>SELECT * {
    &lt;http://ontology.eil.utoronto.ca/Toronto/Toronto#Property5230346&gt; loc:hasLocation [geo:asWKT ?pwkt].
	?s a hp:LowIncomeSupportService.
    ?s hp:providedFromSite [loc:hasLocation [geo:asWKT ?swkt]].
	FILTER(geof:distance(?pwkt, ?swkt, uom:metre) &lt; 400) #within 400m
    }</t>
  </si>
  <si>
    <t>Note: interpreted as FSI-density  here but could also be interpreted as a planned value of persons per area</t>
  </si>
  <si>
    <r>
      <t xml:space="preserve">tested the query for any regulation, including </t>
    </r>
    <r>
      <rPr>
        <i/>
        <sz val="10"/>
        <color rgb="FF000000"/>
        <rFont val="&quot;Aptos Narrow&quot;"/>
      </rPr>
      <t>planned</t>
    </r>
    <r>
      <rPr>
        <sz val="10"/>
        <color rgb="FF000000"/>
        <rFont val="&quot;Aptos Narrow&quot;"/>
      </rPr>
      <t xml:space="preserve"> regulations (not specifically for plans) </t>
    </r>
  </si>
  <si>
    <t>SELECT *  WHERE {
    &lt;http://ontology.eil.utoronto.ca/Toronto/Toronto#Property5230346&gt; loc:hasLocation [geo:asWKT ?pwkt].
	?popctr a cacensus:PopulationCentre;
    loc:hasLocation [geo:asWKT ?popctrwkt].
   	BIND(geof:distance(?pwkt, ?popctrwkt, uom:metre) AS ?dist)
	FILTER(?dist &lt; 5000) #within 5km
}</t>
  </si>
  <si>
    <t>Note: filter values may vary. Per feedback from validation - it may be better to filter for "all except residential-type uses"</t>
  </si>
  <si>
    <t>select * {
        &lt;http://ontology.eil.utoronto.ca/Toronto/Toronto#Property5230346&gt; loc:hasLocation ?ploc.
    ?riskarea hp:demonstratesRiskFactor ?risk;
    	loc:hasLocation ?rloc.
    ?risk rdf:type ?risktype.
    ?ploc geo:sfIntersects?rloc.
}</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</si>
  <si>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hp:designatesZoningType ?zt.
    #the regulation that applies to a particular zoning type
    ?reg2 opr:forZoning ?zt;
   		 hp:specifiesConstraint [i72:hasValue [i72:hasNumericalValue ?limit;
        							i72:hasUnit ?unit];
        hp:constrains [i72:parameter_of_var [i72:hasName hp:hasSetback];
        			i72:minimum_of ?p]].
    ?p rdf:type [i72:defined_by ?constrained_class].
    #check for the population type (in case there is a regulation on another type of area)
?area loc:hasLocation ?loc.
    #regulations that apply to an area that the parcel is located in
    ?ploc geo:sfWithin ?loc.
}"</t>
  </si>
  <si>
    <r>
      <t>Duplicate of  7b
Consider modifying this to retrieve all density-</t>
    </r>
    <r>
      <rPr>
        <i/>
        <sz val="10"/>
        <color rgb="FF000000"/>
        <rFont val="Arial"/>
        <family val="2"/>
        <scheme val="minor"/>
      </rPr>
      <t>related</t>
    </r>
    <r>
      <rPr>
        <sz val="10"/>
        <color rgb="FF000000"/>
        <rFont val="Arial"/>
        <family val="2"/>
        <scheme val="minor"/>
      </rPr>
      <t xml:space="preserve"> policies on, e.g. max units, max height</t>
    </r>
  </si>
  <si>
    <t>Interpreted as "parcels that are not currently occupied by infrastructure"; beyond that it's hard to answer the question - what are the factors that make something available? (e.g. vacant, underused, …)</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</si>
  <si>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[loc:hasLocation ?loc];
    	hp:designatesZoningType ?zt.
    #the regulation that applies to a particular zoning type
    ?reg2 opr:forZoning ?zt;
   		 hp:specifiesConstraint [i72:hasValue [i72:hasNumericalValue ?limit;
        							i72:hasUnit ?unit];
        hp:constrains [i72:parameter_of_var [i72:hasName hp:hasNumDwellings];
        			i72:minimum_of ?p]].
    ?p rdf:type [i72:defined_by ?constrained_class].
    #check for the population type (in case there is a regulation on another type of area)
    #regulations that apply to an area that the parcel is located in
    ?ploc geo:sfWithin ?loc.
}</t>
  </si>
  <si>
    <t>Note: the "units" field (for capacity per parcel) is included in the bylaw datset but the data is not currently populated</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</si>
  <si>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[loc:hasLocation ?loc];
    	hp:designatesZoningType ?zt.
    #the regulation that applies to a particular zoning type
    ?reg2 opr:forZoning ?zt;
   		 hp:specifiesConstraint [i72:hasValue [i72:hasNumericalValue ?limit];
                                hp:constrains [i72:parameter_of_var [i72:hasName hp:hasFSI];
                                            i72:maximum_of ?p]].
    ?p rdf:type [i72:defined_by ?constrained_class].
    #check for the population type (in case there is a regulation on another type of area)
    #regulations that apply to an area that the parcel is located in
    ?ploc geo:sfWithin ?loc.
}</t>
  </si>
  <si>
    <t>CQ Formalization Overview</t>
  </si>
  <si>
    <t>CQ Evaluation Overview</t>
  </si>
  <si>
    <t>*2 not expressible</t>
  </si>
  <si>
    <t>Incomplete (System error)</t>
  </si>
  <si>
    <t>SELECT ?source ?limit ?unit ?constrained_class WHERE {
    #if we are looking for the neighbourhood of a specific parcel
    &lt;http://ontology.eil.utoronto.ca/Toronto/Toronto#Property5230346&gt; loc:hasLocation ?ploc.
    #regulations
    ?source hp:definesRegulation ?reg.
    ?source a hp:Plan.
    ?reg a hp:Regulation;
    hp:definedFor [loc:hasLocation ?loc];
   		 hp:specifiesConstraint [i72:hasValue [i72:hasNumericalValue ?limit];
                                hp:constrains [i72:parameter_of_var [i72:hasName hp:hasFSI];
                                            i72:maximum_of ?p]].
    ?p rdf:type [i72:defined_by ?constrained_class].
    #check for the population type (in case there is a regulation on another type of area)
    #regulations that apply to an area that the parcel is located in
    ?ploc geo:sfWithin ?loc.
}</t>
  </si>
  <si>
    <t>*1 not expressible</t>
  </si>
  <si>
    <t xml:space="preserve">SELECT * WHERE {
    &lt;http://ontology.eil.utoronto.ca/Toronto/Toronto#Property5230346&gt; loc:hasLocation ?ploc.
    ?ws a hp:WaterService.
    ?ws service:hasCatchmentArea [loc:hasLocation ?cloc].
    ?ploc geo:sfWithin ?cloc.
    ?ws res:hasAvailableCapacity [i72:hasValue [i72:hasNumericalValue ?avail_cap;
        										i72:hasUnit ?unit]]
} </t>
  </si>
  <si>
    <t>SELECT ?source ?reg ?limit ?unit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hp:specifiesConstraint [i72:hasValue [i72:hasNumericalValue ?limit;
        							i72:hasUnit ?unit];
        hp:constrains [i72:parameter_of_var [i72:hasName hp:hasBuildingHeight];
        			i72:maximumOf ?p]].
    #consider check for the population type (in case there is a regulation on height of something else)
?area loc:hasLocation ?loc.
    #regulations that apply to an area that the parcel is located in
    ?ploc geo:sfWithin ?loc.
}</t>
  </si>
  <si>
    <t>SELECT ?parcel ?gov_unit WHERE {
	?parcel hp:ownership hp:governmentofcanada.
?gov_unit org:unit_of hp:governmentofcanada.
    FILTER NOT EXISTS {?x hp:occupies ?parcel}
}</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</si>
  <si>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hp:designatesZoningType ?zt.
    #the regulation that applies to a particular zoning type
    ?reg2 opr:forZoning ?zt;
   		 hp:specifiesConstraint [i72:hasValue [i72:hasNumericalValue ?limit;
        							i72:hasUnit ?unit];
        hp:constrains [i72:parameter_of_var [i72:hasName tor:hasNumDwellings];
        			i72:maximum_of ?p]].
    ?p rdf:type [i72:defined_by ?constrained_class].
    #check for the population type (in case there is a regulation on another type of area)
?area loc:hasLocation ?loc.
    #regulations that apply to an area that the parcel is located in
    ?ploc geo:sfWithin ?loc.
    #estimated actual number of dwellings
?char a cacensus:TotalPrivateDwellings2016;
	cacensus:hasLocation ?ct;
	i72:hasValue [i72:hasNumericalValue ?num_dwellings].
    ?ct loc_old:hasLocation ?ctloc.
    ?ctloc geo:asWKT ?ctwkt.
    ?ploc geo:sfWithin ?ctloc.
    BIND((geoext:area(?pwkt)/geoext:area(?ctwkt)) AS ?percent_area)
    BIND((?num_dwellings * ?percent_area) AS ?est_num_dwellngs)
}</t>
  </si>
  <si>
    <t>SELECT ?nearbyp ?zt WHERE {
    #if we are looking for the neighbourhood of a specific parcel
    tor:Property5314508 loc:hasLocation [geo:asWKT ?pwkt].
    #identify nearby parcels and attribute of interest
      ?nearbyp a hp:Parcel ;
        loc:hasLocation [geo:asWKT ?nearbypwkt].
    FILTER(
        geof:distance(?pwkt, ?nearbypwkt, uom:metre) &lt; 200
    )
    #zoning constraints that apply to nearby parcels
    ?nearbyp hp:zonedAsType ?zt.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</si>
  <si>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hp:hasArea];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hp:hasArea [i72:hasValue [i72:hasNumericalValue ?actualvalue;
            						i72:hasUnit ?aunit]].
                ?aunit rdfs:label ?actualunit.
    }
   #or, the actual value of the constrained attribute for the building, if known
    OPTIONAL {
        ?b hp:occupies ?nearbyp;
        	hp:hasArea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</si>
  <si>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hp:hasBuildingHeight];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hp:hasBuildingHeight [i72:hasValue [i72:hasNumericalValue ?actualvalue;
            						i72:hasUnit ?aunit]].
                ?aunit rdfs:label ?actualunit.
    }
   #or, the actual value of the constrained attribute for the building, if known
    OPTIONAL {
        ?b hp:occupies ?nearbyp;
        	hp:hasBuildingHeight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</si>
  <si>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hp:hasFSI];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hp:hasFSI [i72:hasValue [i72:hasNumericalValue ?actualvalue;
            						i72:hasUnit ?aunit]].
                ?aunit rdfs:label ?actualunit.
    }
   #or, the actual value of the constrained attribute for the building, if known
    OPTIONAL {
        ?b hp:occupies ?nearbyp;
        	hp:hasFSI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</si>
  <si>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hp:hasSetback];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hp:hasSetback [i72:hasValue [i72:hasNumericalValue ?actualvalue;
            						i72:hasUnit ?aunit]].
                ?aunit rdfs:label ?actualunit.
    }
   #or, the actual value of the constrained attribute for the building, if known
    OPTIONAL {
        ?b hp:occupies ?nearbyp;
        	hp:hasSetback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</si>
  <si>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Pass with no data</t>
  </si>
  <si>
    <t>ASK {
    &lt;http://ontology.eil.utoronto.ca/Toronto/Toronto#Property5437657&gt; hp:servicedBy ?s;
    	a hp:AdministrativeArea.
    ?s a hp:ElectricService.
    }</t>
  </si>
  <si>
    <t>SELECT (AVG(?area) AS ?averageArea) ?unit
WHERE{{
    SELECT ?nloc WHERE {
	&lt;http://ontology.eil.utoronto.ca/Toronto/Toronto#Property5230346&gt; loc:hasLocation ?ploc.
	?n a tor:Neighborhood;
		loc_old:hasLocation ?nloc.
    ?ploc geo:sfWithin ?nloc.
        }}
	?p a hp:Parcel;
		loc:hasLocation ?np;
		hp:hasArea [i72:hasValue [i72:hasNumericalValue ?area;
					            i72:hasUnit ?unit]].
	?np geo:sfWithin ?nloc.
} GROUP BY ?unit</t>
  </si>
  <si>
    <t>SELECT ?servicelabel ?avail_cap_type ?cap ?avail_cap_type ?cap_unit WHERE {
#services with suitable catchment areas
    &lt;http://ontology.eil.utoronto.ca/Toronto/Toronto#Property5437657&gt; hp:servicedBy ?s;
    	a hp:AdministrativeArea.
    ?s a hp:ElectricService.
    #service site location, if defined
    OPTIONAL {
        ?s hp:providedFromSite ?site.		
    ?site loc:hasLocation ?sloc.
    ?sloc geo:asWKT ?swkt.}
    #service capacity
    ?s res:hasAvailableCapacity ?avail_cap.
    ?avail_cap i72:hasValue [i72:hasNumericalValue ?cap;
       									i72:hasUnit ?cap_unit];
    					rdf:type ?avail_cap_type.
# Filter out the "Generics" (owl:Thing and owl:Nothing)
    FILTER(?avail_cap_type != owl:Thing &amp;&amp; ?avail_cap_type != owl:Nothing)
    FILTER(!isBlank(?avail_cap_type))
    # The Leaf Constraint: 
    # Ensure there isn't another type on this node that is a SUBCLASS of our candidate.
    FILTER NOT EXISTS {
        ?avail_cap rdf:type ?moreSpecific .
        ?moreSpecific rdfs:subClassOf+ ?avail_cap_type .
        # Standard safety filters
        FILTER(?moreSpecific != ?avail_cap_type)
        FILTER(?moreSpecific != owl:Nothing)
    }
}</t>
  </si>
  <si>
    <t>SELECT ?nearbyuse WHERE {{
    &lt;http://ontology.eil.utoronto.ca/Toronto/Toronto#Building3efdd236cedae97c4e70c81227035d4a&gt; loc:hasLocation [geo:asWKT ?pwkt].
    ?s a hp:Building;
    hp:occupies [loc:hasLocation [geo:asWKT ?nearbywkt]];
    bdg:use ?nearbyuse.
    FILTER ((?nearbyuse != &lt;http://ontology.eil.utoronto.ca/Toronto/Toronto#BuildingUseHouse&gt;) || (?nearbyuse != &lt;http://ontology.eil.utoronto.ca/Toronto/Toronto#BuildingUseHighRiseApartment&gt;) || (?nearbyuse != &lt;http://ontology.eil.utoronto.ca/Toronto/Toronto#BuildingUseLowRiseApartment&gt;))
    FILTER(geof:distance(?pwkt, ?nearbywkt, uom:metre) &lt; 400) #within 400m
}
    UNION
    { 
    &lt;http://ontology.eil.utoronto.ca/Toronto/Toronto#Building3efdd236cedae97c4e70c81227035d4a&gt; loc:hasLocation [geo:asWKT ?pwkt].
    ?source hp:definesRegulation ?reg.
   ?source a hp:ZoningBylaw.
?reg a hp:Regulation;
    hp:definedFor [loc:hasLocation [geo:asWKT ?regwkt]];
    hp:designatesZoningType [oz:allowsUse ?nearbyuse].
	FILTER(geof:distance(?pwkt, ?regwkt, uom:metre) &lt; 400) #within 400m
    FILTER ((?nearbyuse != &lt;http://ontology.eil.utoronto.ca/Toronto/Toronto#Residential&gt;)||(?use != &lt;http://ontology.eil.utoronto.ca/Toronto/Toronto#Residential&gt;)) #all uses except residential might constitute employment opportunities
    #alternatively, could filter specifically for e.g. office or industrial type use
}	
        }</t>
  </si>
  <si>
    <t>SELECT ?nearbyuse WHERE {{
    &lt;http://ontology.eil.utoronto.ca/Toronto/Toronto#Building3efdd236cedae97c4e70c81227035d4a&gt; loc:hasLocation [geo:asWKT ?pwkt].
    ?s a hp:Building;
    hp:occupies [loc:hasLocation [geo:asWKT ?nearbywkt]];
    bdg:use ?nearbyuse.
    FILTER ((?nearbyuse != &lt;http://ontology.eil.utoronto.ca/Toronto/Toronto#BuildingUseHouse&gt;) || (?nearbyuse != &lt;http://ontology.eil.utoronto.ca/Toronto/Toronto#BuildingUseHighRiseApartment&gt;) || (?nearbyuse != &lt;http://ontology.eil.utoronto.ca/Toronto/Toronto#BuildingUseLowRiseApartment&gt;))
    FILTER(geof:distance(?pwkt, ?nearbywkt, uom:metre) &lt; 400) #within 400m
}
    UNION
    { 
    &lt;http://ontology.eil.utoronto.ca/Toronto/Toronto#Property5230346&gt; loc:hasLocation [geo:asWKT ?pwkt].
    #regulations
    ?source hp:definesRegulation ?reg.
   ?source a hp:ZoningBylaw.
?reg a hp:Regulation;
    hp:definedFor [loc:hasLocation [geo:asWKT ?regwkt]];
    hp:designatesZoningType [oz:allowsUse ?nearbyuse].
	FILTER(geof:distance(?pwkt, ?regwkt, uom:metre) &lt; 4000) #within 400m
    FILTER ((?nearbyuse != &lt;http://ontology.eil.utoronto.ca/Toronto/Toronto#Residential&gt;)||(?use != &lt;http://ontology.eil.utoronto.ca/Toronto/Toronto#Residential&gt;)) #all uses except residential might constitute employment opportunities
    #alternatively, could filter specifically for e.g. office or industrial type use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</si>
</sst>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000000"/>
      <name val="&quot;Aptos Narrow&quot;"/>
    </font>
    <font>
      <sz val="10"/>
      <color rgb="FF000000"/>
      <name val="&quot;Aptos Narrow&quot;"/>
    </font>
    <font>
      <sz val="10"/>
      <color rgb="FF000000"/>
      <name val="Arial"/>
      <family val="2"/>
    </font>
    <font>
      <sz val="10"/>
      <color theme="1"/>
      <name val="Arial"/>
      <family val="2"/>
      <scheme val="minor"/>
    </font>
    <font>
      <b/>
      <sz val="10"/>
      <color rgb="FF000000"/>
      <name val="&quot;Aptos Narrow&quot;"/>
    </font>
    <font>
      <sz val="10"/>
      <color rgb="FF000000"/>
      <name val="Arial"/>
      <family val="2"/>
      <scheme val="minor"/>
    </font>
    <font>
      <b/>
      <sz val="12"/>
      <color theme="1"/>
      <name val="Arial"/>
      <family val="2"/>
      <scheme val="minor"/>
    </font>
    <font>
      <b/>
      <i/>
      <sz val="10"/>
      <color rgb="FF000000"/>
      <name val="&quot;Aptos Narrow&quot;"/>
    </font>
    <font>
      <i/>
      <sz val="10"/>
      <color rgb="FF000000"/>
      <name val="&quot;Aptos Narrow&quot;"/>
    </font>
    <font>
      <b/>
      <sz val="10"/>
      <color rgb="FF000000"/>
      <name val="Arial"/>
      <family val="2"/>
      <scheme val="minor"/>
    </font>
    <font>
      <b/>
      <sz val="11"/>
      <color theme="1"/>
      <name val="Arial"/>
      <family val="2"/>
      <scheme val="minor"/>
    </font>
    <font>
      <sz val="11"/>
      <color rgb="FF000000"/>
      <name val="Arial"/>
      <family val="2"/>
      <scheme val="minor"/>
    </font>
    <font>
      <i/>
      <sz val="10"/>
      <color rgb="FF000000"/>
      <name val="Arial"/>
      <family val="2"/>
      <scheme val="minor"/>
    </font>
  </fonts>
  <fills count="9">
    <fill>
      <patternFill patternType="none"/>
    </fill>
    <fill>
      <patternFill patternType="gray125"/>
    </fill>
    <fill>
      <patternFill patternType="solid">
        <fgColor rgb="FFEFEFEF"/>
        <bgColor rgb="FFEFEFEF"/>
      </patternFill>
    </fill>
    <fill>
      <patternFill patternType="solid">
        <fgColor theme="5" tint="0.79998168889431442"/>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rgb="FFEFEFEF"/>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theme="4"/>
      </top>
      <bottom style="double">
        <color theme="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7" fillId="0" borderId="8" applyNumberFormat="0" applyFill="0" applyAlignment="0" applyProtection="0"/>
  </cellStyleXfs>
  <cellXfs count="41">
    <xf numFmtId="0" fontId="0" fillId="0" borderId="0" xfId="0"/>
    <xf numFmtId="0" fontId="1" fillId="2" borderId="1" xfId="0" applyFont="1" applyFill="1" applyBorder="1" applyAlignment="1">
      <alignment wrapText="1"/>
    </xf>
    <xf numFmtId="0" fontId="4" fillId="2" borderId="0" xfId="0" applyFont="1" applyFill="1"/>
    <xf numFmtId="0" fontId="2" fillId="0" borderId="1" xfId="0" applyFont="1" applyBorder="1" applyAlignment="1">
      <alignment wrapText="1"/>
    </xf>
    <xf numFmtId="0" fontId="2" fillId="0" borderId="0" xfId="0" applyFont="1" applyAlignment="1">
      <alignment wrapText="1"/>
    </xf>
    <xf numFmtId="0" fontId="2" fillId="0" borderId="4" xfId="0" applyFont="1" applyBorder="1" applyAlignment="1">
      <alignment wrapText="1"/>
    </xf>
    <xf numFmtId="0" fontId="2" fillId="0" borderId="1" xfId="0" applyFont="1" applyBorder="1" applyAlignment="1">
      <alignment horizontal="left" wrapText="1"/>
    </xf>
    <xf numFmtId="0" fontId="4" fillId="0" borderId="0" xfId="0" applyFont="1" applyAlignment="1">
      <alignment wrapText="1"/>
    </xf>
    <xf numFmtId="0" fontId="5" fillId="0" borderId="6" xfId="0" applyFont="1" applyBorder="1" applyAlignment="1">
      <alignment horizontal="left" wrapText="1"/>
    </xf>
    <xf numFmtId="0" fontId="5" fillId="0" borderId="7" xfId="0" applyFont="1" applyBorder="1" applyAlignment="1">
      <alignment horizontal="left" wrapText="1"/>
    </xf>
    <xf numFmtId="0" fontId="2" fillId="0" borderId="5" xfId="0" applyFont="1" applyBorder="1" applyAlignment="1">
      <alignment wrapText="1"/>
    </xf>
    <xf numFmtId="0" fontId="5" fillId="0" borderId="0" xfId="0" applyFont="1" applyAlignment="1">
      <alignment horizontal="left" wrapText="1"/>
    </xf>
    <xf numFmtId="0" fontId="1" fillId="0" borderId="1" xfId="0" applyFont="1" applyBorder="1" applyAlignment="1">
      <alignment wrapText="1"/>
    </xf>
    <xf numFmtId="0" fontId="1" fillId="2" borderId="0" xfId="0" applyFont="1" applyFill="1" applyAlignment="1">
      <alignment wrapText="1"/>
    </xf>
    <xf numFmtId="0" fontId="2" fillId="0" borderId="0" xfId="0" applyFont="1" applyAlignment="1">
      <alignment horizontal="left" wrapText="1"/>
    </xf>
    <xf numFmtId="0" fontId="6" fillId="0" borderId="0" xfId="0" applyFont="1" applyAlignment="1">
      <alignment wrapText="1"/>
    </xf>
    <xf numFmtId="0" fontId="2" fillId="3" borderId="1" xfId="0" applyFont="1" applyFill="1" applyBorder="1" applyAlignment="1">
      <alignment wrapText="1"/>
    </xf>
    <xf numFmtId="0" fontId="3" fillId="0" borderId="0" xfId="0" applyFont="1" applyAlignment="1">
      <alignment wrapText="1"/>
    </xf>
    <xf numFmtId="0" fontId="6" fillId="4" borderId="0" xfId="0" applyFont="1" applyFill="1"/>
    <xf numFmtId="0" fontId="2" fillId="5" borderId="0" xfId="0" applyFont="1" applyFill="1" applyAlignment="1">
      <alignment wrapText="1"/>
    </xf>
    <xf numFmtId="0" fontId="1" fillId="0" borderId="0" xfId="0" applyFont="1" applyAlignment="1">
      <alignment wrapText="1"/>
    </xf>
    <xf numFmtId="0" fontId="10" fillId="0" borderId="0" xfId="0" applyFont="1"/>
    <xf numFmtId="0" fontId="2" fillId="6" borderId="1" xfId="0" applyFont="1" applyFill="1" applyBorder="1" applyAlignment="1">
      <alignment wrapText="1"/>
    </xf>
    <xf numFmtId="0" fontId="6" fillId="6" borderId="0" xfId="0" applyFont="1" applyFill="1"/>
    <xf numFmtId="0" fontId="2" fillId="0" borderId="9" xfId="0" applyFont="1" applyBorder="1" applyAlignment="1">
      <alignment horizontal="left" vertical="top" wrapText="1"/>
    </xf>
    <xf numFmtId="0" fontId="6" fillId="7" borderId="0" xfId="0" applyFont="1" applyFill="1" applyAlignment="1">
      <alignment wrapText="1"/>
    </xf>
    <xf numFmtId="0" fontId="12" fillId="0" borderId="0" xfId="0" applyFont="1"/>
    <xf numFmtId="0" fontId="6" fillId="0" borderId="0" xfId="0" applyFont="1"/>
    <xf numFmtId="0" fontId="10" fillId="0" borderId="10" xfId="0" applyFont="1" applyBorder="1"/>
    <xf numFmtId="0" fontId="6" fillId="0" borderId="10" xfId="0" applyFont="1" applyBorder="1"/>
    <xf numFmtId="0" fontId="0" fillId="0" borderId="10" xfId="0" applyBorder="1"/>
    <xf numFmtId="0" fontId="11" fillId="0" borderId="10" xfId="1" applyFont="1" applyBorder="1"/>
    <xf numFmtId="0" fontId="3" fillId="6" borderId="1" xfId="0" applyFont="1" applyFill="1" applyBorder="1" applyAlignment="1">
      <alignment wrapText="1"/>
    </xf>
    <xf numFmtId="0" fontId="0" fillId="0" borderId="0" xfId="0" applyAlignment="1">
      <alignment wrapText="1"/>
    </xf>
    <xf numFmtId="0" fontId="2" fillId="8" borderId="0" xfId="0" applyFont="1" applyFill="1" applyAlignment="1">
      <alignment wrapText="1"/>
    </xf>
    <xf numFmtId="0" fontId="4" fillId="0" borderId="1" xfId="0" applyFont="1" applyBorder="1" applyAlignment="1">
      <alignment wrapText="1"/>
    </xf>
    <xf numFmtId="0" fontId="4" fillId="0" borderId="0" xfId="0" applyFont="1"/>
    <xf numFmtId="0" fontId="2" fillId="0" borderId="0" xfId="0" applyFont="1"/>
    <xf numFmtId="0" fontId="11" fillId="0" borderId="11" xfId="1" applyFont="1" applyBorder="1"/>
    <xf numFmtId="0" fontId="1" fillId="0" borderId="2" xfId="0" applyFont="1" applyBorder="1" applyAlignment="1">
      <alignment horizontal="left" wrapText="1"/>
    </xf>
    <xf numFmtId="0" fontId="1" fillId="0" borderId="3" xfId="0" applyFont="1" applyBorder="1" applyAlignment="1">
      <alignment horizontal="left" wrapText="1"/>
    </xf>
  </cellXfs>
  <cellStyles count="2">
    <cellStyle name="Normal" xfId="0" builtinId="0"/>
    <cellStyle name="Total" xfId="1"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8267-B4FF-044C-B0A7-8F8D238954BD}">
  <dimension ref="A1:G20"/>
  <sheetViews>
    <sheetView workbookViewId="0">
      <selection activeCell="A16" sqref="A16:E19"/>
    </sheetView>
  </sheetViews>
  <sheetFormatPr baseColWidth="10" defaultRowHeight="13"/>
  <cols>
    <col min="1" max="1" width="19.6640625" customWidth="1"/>
    <col min="2" max="2" width="13.6640625" bestFit="1" customWidth="1"/>
    <col min="3" max="3" width="18" bestFit="1" customWidth="1"/>
    <col min="4" max="4" width="18.33203125" customWidth="1"/>
    <col min="5" max="5" width="22.33203125" customWidth="1"/>
  </cols>
  <sheetData>
    <row r="1" spans="1:5">
      <c r="A1" s="21" t="s">
        <v>222</v>
      </c>
      <c r="B1" s="21"/>
      <c r="C1" s="21"/>
      <c r="D1" s="21"/>
    </row>
    <row r="2" spans="1:5">
      <c r="A2" s="28" t="s">
        <v>103</v>
      </c>
      <c r="B2" s="28" t="s">
        <v>104</v>
      </c>
      <c r="C2" s="28" t="s">
        <v>105</v>
      </c>
      <c r="D2" s="28" t="s">
        <v>106</v>
      </c>
    </row>
    <row r="3" spans="1:5">
      <c r="A3" s="29" t="s">
        <v>107</v>
      </c>
      <c r="B3" s="30">
        <f>COUNTIF('Land Use and Zoning'!B6:B38,"&lt;&gt;")</f>
        <v>31</v>
      </c>
      <c r="C3" s="30">
        <f>COUNTBLANK('Land Use and Zoning'!B6:B38)</f>
        <v>2</v>
      </c>
      <c r="D3" s="30">
        <f>SUM(B3:C3)</f>
        <v>33</v>
      </c>
    </row>
    <row r="4" spans="1:5">
      <c r="A4" s="29" t="s">
        <v>35</v>
      </c>
      <c r="B4" s="30">
        <f>COUNTIF('Development Feasibility'!B6:B25,"&lt;&gt;")</f>
        <v>20</v>
      </c>
      <c r="C4" s="30">
        <f>COUNTBLANK('Development Feasibility'!B6:B25)</f>
        <v>0</v>
      </c>
      <c r="D4" s="30">
        <f t="shared" ref="D4:D5" si="0">SUM(B4:C4)</f>
        <v>20</v>
      </c>
    </row>
    <row r="5" spans="1:5">
      <c r="A5" s="29" t="s">
        <v>108</v>
      </c>
      <c r="B5" s="30">
        <f>COUNTIF('Development Desirability (Quali'!B6:B23,"&lt;&gt;")</f>
        <v>17</v>
      </c>
      <c r="C5" s="30">
        <f>COUNTBLANK('Development Desirability (Quali'!B6:B23)</f>
        <v>1</v>
      </c>
      <c r="D5" s="30">
        <f t="shared" si="0"/>
        <v>18</v>
      </c>
    </row>
    <row r="6" spans="1:5" s="26" customFormat="1" ht="14">
      <c r="A6" s="31" t="s">
        <v>109</v>
      </c>
      <c r="B6" s="31">
        <f t="shared" ref="B6:C6" si="1">SUM(B3:B5)</f>
        <v>68</v>
      </c>
      <c r="C6" s="31">
        <f t="shared" si="1"/>
        <v>3</v>
      </c>
      <c r="D6" s="31">
        <f>SUM(D3:D5)</f>
        <v>71</v>
      </c>
    </row>
    <row r="9" spans="1:5">
      <c r="A9" s="21" t="s">
        <v>123</v>
      </c>
    </row>
    <row r="10" spans="1:5">
      <c r="A10" s="27" t="s">
        <v>124</v>
      </c>
    </row>
    <row r="11" spans="1:5">
      <c r="A11" s="27" t="s">
        <v>125</v>
      </c>
    </row>
    <row r="12" spans="1:5">
      <c r="A12" s="27" t="s">
        <v>126</v>
      </c>
    </row>
    <row r="15" spans="1:5">
      <c r="A15" s="21" t="s">
        <v>223</v>
      </c>
    </row>
    <row r="16" spans="1:5">
      <c r="A16" s="28" t="s">
        <v>103</v>
      </c>
      <c r="B16" s="28" t="s">
        <v>128</v>
      </c>
      <c r="C16" s="28" t="s">
        <v>208</v>
      </c>
      <c r="D16" s="28" t="s">
        <v>139</v>
      </c>
      <c r="E16" s="28" t="s">
        <v>225</v>
      </c>
    </row>
    <row r="17" spans="1:7">
      <c r="A17" s="29" t="s">
        <v>107</v>
      </c>
      <c r="B17" s="30">
        <f>COUNTIF('Land Use and Zoning'!D6:D38,"Pass")</f>
        <v>24</v>
      </c>
      <c r="C17" s="30">
        <f>COUNTIF('Land Use and Zoning'!D6:D38,"Pass with missing data")</f>
        <v>6</v>
      </c>
      <c r="D17" s="30">
        <f>COUNTIF('Land Use and Zoning'!D6:D38,"Pass with fault")</f>
        <v>0</v>
      </c>
      <c r="E17" s="30">
        <f>COUNTIF('Land Use and Zoning'!D6:D38,"System error")</f>
        <v>0</v>
      </c>
      <c r="F17">
        <f>SUM(B17:E17)</f>
        <v>30</v>
      </c>
      <c r="G17" s="27" t="s">
        <v>224</v>
      </c>
    </row>
    <row r="18" spans="1:7">
      <c r="A18" s="29" t="s">
        <v>35</v>
      </c>
      <c r="B18" s="30">
        <f>COUNTIF('Development Feasibility'!D6:D25, "Pass")</f>
        <v>17</v>
      </c>
      <c r="C18" s="30">
        <f>COUNTIF('Development Feasibility'!D6:D25, "Pass with missing data")</f>
        <v>3</v>
      </c>
      <c r="D18" s="30">
        <f>COUNTIF('Development Feasibility'!D6:D25, "Pass with fault")</f>
        <v>0</v>
      </c>
      <c r="E18" s="30">
        <f>COUNTIF('Development Feasibility'!D6:D25,"System error")</f>
        <v>0</v>
      </c>
      <c r="F18">
        <f>SUM(B18:E18)</f>
        <v>20</v>
      </c>
    </row>
    <row r="19" spans="1:7">
      <c r="A19" s="29" t="s">
        <v>108</v>
      </c>
      <c r="B19" s="30">
        <f>COUNTIF('Development Desirability (Quali'!C6:C23,"Pass")</f>
        <v>15</v>
      </c>
      <c r="C19" s="30">
        <f>COUNTIF('Development Desirability (Quali'!C6:C23,"Pass with missing data")</f>
        <v>2</v>
      </c>
      <c r="D19" s="30">
        <f>COUNTIF('Development Desirability (Quali'!C6:C23,"Pass with fault")</f>
        <v>0</v>
      </c>
      <c r="E19" s="30">
        <f>COUNTIF('Development Desirability (Quali'!C6:C23,"System error")</f>
        <v>0</v>
      </c>
      <c r="F19">
        <f>SUM(B19:E19)</f>
        <v>17</v>
      </c>
      <c r="G19" s="27" t="s">
        <v>227</v>
      </c>
    </row>
    <row r="20" spans="1:7" ht="14">
      <c r="A20" s="38"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zoomScale="140" zoomScaleNormal="140" workbookViewId="0">
      <selection activeCell="D18" sqref="D18"/>
    </sheetView>
  </sheetViews>
  <sheetFormatPr baseColWidth="10" defaultColWidth="12.6640625" defaultRowHeight="13"/>
  <cols>
    <col min="1" max="2" width="53.33203125" customWidth="1"/>
    <col min="3" max="3" width="53.33203125" hidden="1" customWidth="1"/>
    <col min="4" max="4" width="15" bestFit="1" customWidth="1"/>
  </cols>
  <sheetData>
    <row r="1" spans="1:14">
      <c r="A1" s="23" t="s">
        <v>91</v>
      </c>
      <c r="D1" s="4"/>
      <c r="E1" s="4"/>
      <c r="F1" s="7"/>
      <c r="G1" s="7"/>
    </row>
    <row r="2" spans="1:14">
      <c r="A2" s="18" t="s">
        <v>93</v>
      </c>
      <c r="B2" s="27"/>
      <c r="C2" s="15"/>
      <c r="D2" s="4"/>
      <c r="E2" s="4"/>
      <c r="F2" s="7"/>
      <c r="G2" s="7"/>
    </row>
    <row r="3" spans="1:14" ht="14">
      <c r="A3" s="25" t="s">
        <v>112</v>
      </c>
      <c r="B3" s="27"/>
      <c r="C3" s="15"/>
      <c r="D3" s="4"/>
      <c r="E3" s="4"/>
      <c r="F3" s="7"/>
      <c r="G3" s="7"/>
    </row>
    <row r="4" spans="1:14" ht="14">
      <c r="A4" s="1" t="s">
        <v>0</v>
      </c>
      <c r="B4" s="13" t="s">
        <v>76</v>
      </c>
      <c r="C4" s="13" t="s">
        <v>86</v>
      </c>
      <c r="D4" s="2" t="s">
        <v>127</v>
      </c>
      <c r="E4" s="2"/>
      <c r="F4" s="2"/>
      <c r="G4" s="2"/>
      <c r="H4" s="2"/>
      <c r="I4" s="2"/>
      <c r="J4" s="2"/>
      <c r="K4" s="2"/>
      <c r="L4" s="2"/>
      <c r="M4" s="2"/>
      <c r="N4" s="2"/>
    </row>
    <row r="5" spans="1:14">
      <c r="A5" s="39" t="s">
        <v>1</v>
      </c>
      <c r="B5" s="40"/>
      <c r="C5" s="40"/>
    </row>
    <row r="6" spans="1:14" ht="70">
      <c r="A6" s="3" t="s">
        <v>2</v>
      </c>
      <c r="B6" s="4" t="s">
        <v>129</v>
      </c>
      <c r="C6" s="4" t="s">
        <v>77</v>
      </c>
      <c r="D6" s="4" t="s">
        <v>128</v>
      </c>
    </row>
    <row r="7" spans="1:14" ht="70">
      <c r="A7" s="3" t="s">
        <v>3</v>
      </c>
      <c r="B7" s="4" t="s">
        <v>130</v>
      </c>
      <c r="C7" s="4" t="s">
        <v>115</v>
      </c>
      <c r="D7" s="4" t="s">
        <v>128</v>
      </c>
      <c r="E7" s="4"/>
    </row>
    <row r="8" spans="1:14" ht="70">
      <c r="A8" s="3" t="s">
        <v>4</v>
      </c>
      <c r="B8" s="4" t="s">
        <v>158</v>
      </c>
      <c r="C8" s="4" t="s">
        <v>118</v>
      </c>
      <c r="D8" s="4" t="s">
        <v>128</v>
      </c>
      <c r="E8" s="4"/>
      <c r="F8" s="4"/>
    </row>
    <row r="9" spans="1:14" ht="70">
      <c r="A9" s="3" t="s">
        <v>5</v>
      </c>
      <c r="B9" s="4" t="s">
        <v>159</v>
      </c>
      <c r="C9" s="4" t="s">
        <v>77</v>
      </c>
      <c r="D9" s="4" t="s">
        <v>128</v>
      </c>
    </row>
    <row r="10" spans="1:14" ht="154">
      <c r="A10" s="3" t="s">
        <v>6</v>
      </c>
      <c r="B10" s="4" t="s">
        <v>183</v>
      </c>
      <c r="C10" s="4" t="s">
        <v>78</v>
      </c>
      <c r="D10" s="4" t="s">
        <v>128</v>
      </c>
    </row>
    <row r="11" spans="1:14" ht="154">
      <c r="A11" s="3" t="s">
        <v>7</v>
      </c>
      <c r="B11" s="4" t="s">
        <v>160</v>
      </c>
      <c r="C11" s="4"/>
      <c r="D11" s="4" t="s">
        <v>128</v>
      </c>
      <c r="E11" s="15" t="s">
        <v>161</v>
      </c>
    </row>
    <row r="12" spans="1:14" ht="252">
      <c r="A12" s="3" t="s">
        <v>8</v>
      </c>
      <c r="B12" s="4" t="s">
        <v>165</v>
      </c>
      <c r="C12" s="4" t="s">
        <v>80</v>
      </c>
      <c r="D12" s="4" t="s">
        <v>128</v>
      </c>
      <c r="E12" s="4" t="s">
        <v>166</v>
      </c>
      <c r="F12" s="4" t="s">
        <v>167</v>
      </c>
    </row>
    <row r="13" spans="1:14" ht="371">
      <c r="A13" s="3" t="s">
        <v>9</v>
      </c>
      <c r="B13" s="4" t="s">
        <v>216</v>
      </c>
      <c r="C13" s="34" t="s">
        <v>88</v>
      </c>
      <c r="D13" s="4" t="s">
        <v>208</v>
      </c>
      <c r="E13" s="27" t="s">
        <v>157</v>
      </c>
    </row>
    <row r="14" spans="1:14" ht="345">
      <c r="A14" s="3" t="s">
        <v>10</v>
      </c>
      <c r="B14" s="4" t="s">
        <v>221</v>
      </c>
      <c r="C14" s="4" t="s">
        <v>79</v>
      </c>
      <c r="D14" s="4" t="s">
        <v>128</v>
      </c>
      <c r="E14" s="4"/>
    </row>
    <row r="15" spans="1:14" ht="332">
      <c r="A15" s="3" t="s">
        <v>11</v>
      </c>
      <c r="B15" s="4" t="s">
        <v>229</v>
      </c>
      <c r="C15" s="4"/>
      <c r="D15" s="27" t="s">
        <v>128</v>
      </c>
      <c r="E15" s="4"/>
    </row>
    <row r="16" spans="1:14" ht="371">
      <c r="A16" s="3" t="s">
        <v>12</v>
      </c>
      <c r="B16" s="4" t="s">
        <v>162</v>
      </c>
      <c r="C16" s="4"/>
      <c r="D16" s="27" t="s">
        <v>128</v>
      </c>
      <c r="E16" s="4" t="s">
        <v>163</v>
      </c>
    </row>
    <row r="17" spans="1:7" ht="56">
      <c r="A17" s="16" t="s">
        <v>13</v>
      </c>
      <c r="B17" s="4"/>
      <c r="C17" s="4" t="s">
        <v>111</v>
      </c>
      <c r="D17" s="27" t="s">
        <v>164</v>
      </c>
    </row>
    <row r="18" spans="1:7" ht="409.6">
      <c r="A18" s="3" t="s">
        <v>14</v>
      </c>
      <c r="B18" s="4" t="s">
        <v>236</v>
      </c>
      <c r="C18" s="34" t="s">
        <v>117</v>
      </c>
      <c r="D18" s="27" t="s">
        <v>237</v>
      </c>
      <c r="E18" s="27"/>
      <c r="F18" s="27"/>
    </row>
    <row r="19" spans="1:7" ht="409.6">
      <c r="A19" s="3" t="s">
        <v>15</v>
      </c>
      <c r="B19" s="4" t="s">
        <v>235</v>
      </c>
      <c r="C19" s="4"/>
      <c r="D19" s="27" t="s">
        <v>128</v>
      </c>
      <c r="E19" s="27"/>
    </row>
    <row r="20" spans="1:7" ht="409.6">
      <c r="A20" s="22" t="s">
        <v>16</v>
      </c>
      <c r="B20" s="4" t="s">
        <v>234</v>
      </c>
      <c r="C20" s="4"/>
      <c r="D20" s="27" t="s">
        <v>128</v>
      </c>
      <c r="E20" s="15"/>
      <c r="F20" s="15"/>
      <c r="G20" s="15"/>
    </row>
    <row r="21" spans="1:7" ht="409.6">
      <c r="A21" s="3" t="s">
        <v>17</v>
      </c>
      <c r="B21" s="4" t="s">
        <v>233</v>
      </c>
      <c r="C21" s="4" t="s">
        <v>116</v>
      </c>
      <c r="D21" s="4" t="s">
        <v>128</v>
      </c>
    </row>
    <row r="22" spans="1:7" ht="28">
      <c r="A22" s="16" t="s">
        <v>18</v>
      </c>
      <c r="C22" s="4" t="s">
        <v>81</v>
      </c>
      <c r="D22" s="27"/>
    </row>
    <row r="23" spans="1:7" ht="238">
      <c r="A23" s="3" t="s">
        <v>19</v>
      </c>
      <c r="B23" s="15" t="s">
        <v>169</v>
      </c>
      <c r="C23" s="4" t="s">
        <v>82</v>
      </c>
      <c r="D23" s="27" t="s">
        <v>128</v>
      </c>
      <c r="E23" s="27" t="s">
        <v>168</v>
      </c>
    </row>
    <row r="24" spans="1:7" ht="210">
      <c r="A24" s="3" t="s">
        <v>20</v>
      </c>
      <c r="B24" s="4" t="s">
        <v>170</v>
      </c>
      <c r="C24" s="4" t="s">
        <v>82</v>
      </c>
      <c r="D24" s="4" t="s">
        <v>128</v>
      </c>
      <c r="E24" s="4" t="s">
        <v>171</v>
      </c>
    </row>
    <row r="25" spans="1:7" ht="345">
      <c r="A25" s="22" t="s">
        <v>21</v>
      </c>
      <c r="B25" s="4" t="s">
        <v>221</v>
      </c>
      <c r="C25" s="4" t="s">
        <v>83</v>
      </c>
      <c r="D25" s="27" t="s">
        <v>128</v>
      </c>
      <c r="E25" s="27"/>
      <c r="F25" s="15" t="s">
        <v>217</v>
      </c>
    </row>
    <row r="26" spans="1:7" ht="196">
      <c r="A26" s="6" t="s">
        <v>22</v>
      </c>
      <c r="B26" s="14" t="s">
        <v>172</v>
      </c>
      <c r="C26" s="14" t="s">
        <v>84</v>
      </c>
      <c r="D26" s="14" t="s">
        <v>128</v>
      </c>
      <c r="E26" s="14" t="s">
        <v>173</v>
      </c>
    </row>
    <row r="27" spans="1:7" ht="84">
      <c r="A27" s="5" t="s">
        <v>23</v>
      </c>
      <c r="B27" s="24" t="s">
        <v>174</v>
      </c>
      <c r="C27" s="4" t="s">
        <v>85</v>
      </c>
      <c r="D27" s="27" t="s">
        <v>128</v>
      </c>
      <c r="E27" s="27" t="s">
        <v>218</v>
      </c>
    </row>
    <row r="28" spans="1:7" ht="168">
      <c r="A28" s="3" t="s">
        <v>24</v>
      </c>
      <c r="B28" s="4" t="s">
        <v>184</v>
      </c>
      <c r="C28" s="4" t="s">
        <v>77</v>
      </c>
      <c r="D28" s="4" t="s">
        <v>208</v>
      </c>
      <c r="E28" s="4" t="s">
        <v>175</v>
      </c>
    </row>
    <row r="29" spans="1:7" ht="358">
      <c r="A29" s="3" t="s">
        <v>25</v>
      </c>
      <c r="B29" s="4" t="s">
        <v>219</v>
      </c>
      <c r="C29" s="4" t="s">
        <v>87</v>
      </c>
      <c r="D29" s="4" t="s">
        <v>208</v>
      </c>
      <c r="E29" s="4" t="s">
        <v>220</v>
      </c>
    </row>
    <row r="30" spans="1:7" ht="238">
      <c r="A30" s="3" t="s">
        <v>26</v>
      </c>
      <c r="B30" s="4" t="s">
        <v>232</v>
      </c>
      <c r="C30" s="4" t="s">
        <v>119</v>
      </c>
      <c r="D30" s="4" t="s">
        <v>128</v>
      </c>
    </row>
    <row r="31" spans="1:7" ht="70">
      <c r="A31" s="3" t="s">
        <v>27</v>
      </c>
      <c r="B31" s="4" t="s">
        <v>176</v>
      </c>
      <c r="C31" s="4"/>
      <c r="D31" s="27" t="s">
        <v>128</v>
      </c>
    </row>
    <row r="32" spans="1:7" ht="112">
      <c r="A32" s="3" t="s">
        <v>28</v>
      </c>
      <c r="B32" s="4" t="s">
        <v>177</v>
      </c>
      <c r="C32" s="4"/>
      <c r="D32" s="27" t="s">
        <v>128</v>
      </c>
      <c r="E32" s="4" t="s">
        <v>178</v>
      </c>
    </row>
    <row r="33" spans="1:6" ht="84">
      <c r="A33" s="3" t="s">
        <v>29</v>
      </c>
      <c r="B33" s="4" t="s">
        <v>179</v>
      </c>
      <c r="C33" s="4"/>
      <c r="D33" s="27" t="s">
        <v>208</v>
      </c>
      <c r="E33" s="4" t="s">
        <v>189</v>
      </c>
    </row>
    <row r="34" spans="1:6" ht="98">
      <c r="A34" s="6" t="s">
        <v>30</v>
      </c>
      <c r="B34" s="14" t="s">
        <v>230</v>
      </c>
      <c r="C34" s="14"/>
      <c r="D34" s="27" t="s">
        <v>128</v>
      </c>
      <c r="E34" s="15" t="s">
        <v>180</v>
      </c>
      <c r="F34" s="14"/>
    </row>
    <row r="35" spans="1:6" ht="98">
      <c r="A35" s="3" t="s">
        <v>31</v>
      </c>
      <c r="B35" s="4" t="s">
        <v>181</v>
      </c>
      <c r="C35" s="4"/>
      <c r="D35" s="27" t="s">
        <v>208</v>
      </c>
      <c r="E35" s="4" t="s">
        <v>190</v>
      </c>
    </row>
    <row r="36" spans="1:6" ht="140">
      <c r="A36" s="3" t="s">
        <v>32</v>
      </c>
      <c r="B36" s="4" t="s">
        <v>182</v>
      </c>
      <c r="C36" s="4"/>
      <c r="D36" s="27" t="s">
        <v>208</v>
      </c>
    </row>
    <row r="37" spans="1:6" ht="56">
      <c r="A37" s="3" t="s">
        <v>33</v>
      </c>
      <c r="B37" s="4" t="s">
        <v>191</v>
      </c>
      <c r="C37" s="4"/>
      <c r="D37" s="27" t="s">
        <v>128</v>
      </c>
    </row>
    <row r="38" spans="1:6" ht="168">
      <c r="A38" s="22" t="s">
        <v>34</v>
      </c>
      <c r="B38" s="4" t="s">
        <v>185</v>
      </c>
      <c r="C38" s="4"/>
      <c r="D38" s="27" t="s">
        <v>128</v>
      </c>
      <c r="E38" s="27" t="s">
        <v>186</v>
      </c>
    </row>
    <row r="39" spans="1:6">
      <c r="A39" s="7"/>
      <c r="B39" s="7"/>
      <c r="C39" s="7"/>
    </row>
    <row r="40" spans="1:6">
      <c r="A40" s="7"/>
      <c r="B40" s="7"/>
      <c r="C40" s="7"/>
    </row>
    <row r="41" spans="1:6">
      <c r="A41" s="7"/>
      <c r="B41" s="7"/>
      <c r="C41" s="7"/>
    </row>
    <row r="42" spans="1:6">
      <c r="A42" s="7"/>
      <c r="B42" s="7"/>
      <c r="C42" s="7"/>
    </row>
    <row r="43" spans="1:6">
      <c r="A43" s="7"/>
      <c r="B43" s="7"/>
      <c r="C43" s="7"/>
    </row>
    <row r="44" spans="1:6">
      <c r="A44" s="7"/>
      <c r="B44" s="7"/>
      <c r="C44" s="7"/>
    </row>
    <row r="45" spans="1:6">
      <c r="A45" s="7"/>
      <c r="B45" s="7"/>
      <c r="C45" s="7"/>
    </row>
    <row r="46" spans="1:6">
      <c r="A46" s="7"/>
      <c r="B46" s="7"/>
      <c r="C46" s="7"/>
    </row>
    <row r="47" spans="1:6">
      <c r="A47" s="7"/>
      <c r="B47" s="7"/>
      <c r="C47" s="7"/>
    </row>
    <row r="48" spans="1:6">
      <c r="A48" s="7"/>
      <c r="B48" s="7"/>
      <c r="C48" s="7"/>
    </row>
    <row r="49" spans="1:3">
      <c r="A49" s="7"/>
      <c r="B49" s="7"/>
      <c r="C49" s="7"/>
    </row>
    <row r="50" spans="1:3">
      <c r="A50" s="7"/>
      <c r="B50" s="7"/>
      <c r="C50" s="7"/>
    </row>
    <row r="51" spans="1:3">
      <c r="A51" s="7"/>
      <c r="B51" s="7"/>
      <c r="C51" s="7"/>
    </row>
    <row r="52" spans="1:3">
      <c r="A52" s="7"/>
      <c r="B52" s="7"/>
      <c r="C52" s="7"/>
    </row>
  </sheetData>
  <mergeCells count="1">
    <mergeCell ref="A5:C5"/>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3"/>
  <sheetViews>
    <sheetView topLeftCell="A25" zoomScale="130" zoomScaleNormal="130" workbookViewId="0">
      <selection activeCell="E25" sqref="E25"/>
    </sheetView>
  </sheetViews>
  <sheetFormatPr baseColWidth="10" defaultColWidth="12.6640625" defaultRowHeight="13"/>
  <cols>
    <col min="1" max="2" width="61.6640625" customWidth="1"/>
    <col min="3" max="3" width="61.6640625" hidden="1" customWidth="1"/>
  </cols>
  <sheetData>
    <row r="1" spans="1:12">
      <c r="A1" s="23" t="s">
        <v>91</v>
      </c>
      <c r="D1" s="4"/>
      <c r="E1" s="4"/>
      <c r="F1" s="7"/>
      <c r="G1" s="7"/>
    </row>
    <row r="2" spans="1:12">
      <c r="A2" s="18" t="s">
        <v>93</v>
      </c>
      <c r="B2" s="27"/>
      <c r="C2" s="15"/>
      <c r="D2" s="4"/>
      <c r="E2" s="4"/>
      <c r="F2" s="7"/>
      <c r="G2" s="7"/>
    </row>
    <row r="3" spans="1:12" ht="14">
      <c r="A3" s="25" t="s">
        <v>112</v>
      </c>
      <c r="B3" s="27"/>
      <c r="C3" s="15"/>
      <c r="D3" s="4"/>
      <c r="E3" s="4"/>
      <c r="F3" s="7"/>
      <c r="G3" s="7"/>
    </row>
    <row r="4" spans="1:12" ht="14">
      <c r="A4" s="1" t="s">
        <v>0</v>
      </c>
      <c r="B4" s="13" t="s">
        <v>89</v>
      </c>
      <c r="C4" s="13" t="s">
        <v>90</v>
      </c>
      <c r="D4" s="7" t="s">
        <v>131</v>
      </c>
      <c r="E4" s="7"/>
      <c r="F4" s="7"/>
      <c r="G4" s="7"/>
      <c r="H4" s="7"/>
      <c r="I4" s="7"/>
      <c r="J4" s="7"/>
      <c r="K4" s="7"/>
      <c r="L4" s="7"/>
    </row>
    <row r="5" spans="1:12" ht="14">
      <c r="A5" s="8" t="s">
        <v>35</v>
      </c>
      <c r="B5" s="9"/>
      <c r="C5" s="9"/>
      <c r="D5" s="7"/>
      <c r="E5" s="7"/>
      <c r="F5" s="7"/>
      <c r="G5" s="7"/>
      <c r="H5" s="7"/>
      <c r="I5" s="7"/>
      <c r="J5" s="7"/>
      <c r="K5" s="7"/>
      <c r="L5" s="7"/>
    </row>
    <row r="6" spans="1:12" ht="84">
      <c r="A6" s="10" t="s">
        <v>36</v>
      </c>
      <c r="B6" s="4" t="s">
        <v>194</v>
      </c>
      <c r="C6" s="4" t="s">
        <v>92</v>
      </c>
      <c r="D6" s="7" t="s">
        <v>208</v>
      </c>
      <c r="E6" s="7" t="s">
        <v>133</v>
      </c>
      <c r="F6" s="36" t="s">
        <v>192</v>
      </c>
      <c r="G6" s="7"/>
      <c r="H6" s="7"/>
      <c r="I6" s="7"/>
      <c r="J6" s="7"/>
      <c r="K6" s="7"/>
      <c r="L6" s="7"/>
    </row>
    <row r="7" spans="1:12" ht="140">
      <c r="A7" s="3" t="s">
        <v>37</v>
      </c>
      <c r="B7" s="4" t="s">
        <v>195</v>
      </c>
      <c r="C7" s="4" t="s">
        <v>94</v>
      </c>
      <c r="D7" s="7" t="s">
        <v>128</v>
      </c>
      <c r="E7" s="7" t="s">
        <v>193</v>
      </c>
      <c r="F7" s="4" t="s">
        <v>196</v>
      </c>
      <c r="G7" s="7"/>
      <c r="H7" s="7"/>
      <c r="I7" s="7"/>
      <c r="J7" s="7"/>
      <c r="K7" s="7"/>
      <c r="L7" s="7"/>
    </row>
    <row r="8" spans="1:12" ht="126">
      <c r="A8" s="3" t="s">
        <v>38</v>
      </c>
      <c r="B8" s="4" t="s">
        <v>132</v>
      </c>
      <c r="C8" s="4" t="s">
        <v>96</v>
      </c>
      <c r="D8" s="7" t="s">
        <v>128</v>
      </c>
      <c r="E8" s="7" t="s">
        <v>134</v>
      </c>
      <c r="F8" s="7"/>
      <c r="G8" s="7"/>
      <c r="H8" s="7"/>
      <c r="I8" s="7"/>
      <c r="J8" s="7"/>
      <c r="K8" s="7"/>
      <c r="L8" s="7"/>
    </row>
    <row r="9" spans="1:12" ht="196">
      <c r="A9" s="22" t="s">
        <v>39</v>
      </c>
      <c r="B9" s="4" t="s">
        <v>136</v>
      </c>
      <c r="C9" s="19" t="s">
        <v>121</v>
      </c>
      <c r="D9" s="7" t="s">
        <v>128</v>
      </c>
      <c r="E9" s="7" t="s">
        <v>135</v>
      </c>
      <c r="F9" s="7"/>
      <c r="G9" s="7"/>
      <c r="H9" s="7"/>
      <c r="I9" s="7"/>
      <c r="J9" s="7"/>
      <c r="K9" s="7"/>
      <c r="L9" s="7"/>
    </row>
    <row r="10" spans="1:12" ht="196">
      <c r="A10" s="3" t="s">
        <v>40</v>
      </c>
      <c r="B10" s="4" t="s">
        <v>137</v>
      </c>
      <c r="C10" s="19" t="s">
        <v>95</v>
      </c>
      <c r="D10" s="7" t="s">
        <v>128</v>
      </c>
      <c r="E10" s="7" t="s">
        <v>138</v>
      </c>
      <c r="F10" s="7"/>
      <c r="G10" s="7"/>
      <c r="H10" s="7"/>
      <c r="I10" s="7"/>
      <c r="J10" s="7"/>
      <c r="K10" s="7"/>
      <c r="L10" s="7"/>
    </row>
    <row r="11" spans="1:12" ht="84">
      <c r="A11" s="3" t="s">
        <v>41</v>
      </c>
      <c r="B11" s="4" t="s">
        <v>238</v>
      </c>
      <c r="C11" s="4" t="s">
        <v>102</v>
      </c>
      <c r="D11" s="7" t="s">
        <v>128</v>
      </c>
      <c r="E11" s="7"/>
      <c r="F11" s="7"/>
      <c r="G11" s="7"/>
      <c r="H11" s="7"/>
      <c r="I11" s="7"/>
      <c r="J11" s="7"/>
      <c r="K11" s="7"/>
      <c r="L11" s="7"/>
    </row>
    <row r="12" spans="1:12" ht="409.6">
      <c r="A12" s="5" t="s">
        <v>42</v>
      </c>
      <c r="B12" s="15" t="s">
        <v>198</v>
      </c>
      <c r="C12" s="4"/>
      <c r="D12" s="7" t="s">
        <v>128</v>
      </c>
      <c r="E12" s="7" t="s">
        <v>197</v>
      </c>
      <c r="F12" s="37" t="s">
        <v>97</v>
      </c>
      <c r="G12" s="7"/>
      <c r="H12" s="7"/>
      <c r="I12" s="7"/>
      <c r="J12" s="7"/>
      <c r="K12" s="7"/>
      <c r="L12" s="7"/>
    </row>
    <row r="13" spans="1:12" ht="224">
      <c r="A13" s="3" t="s">
        <v>43</v>
      </c>
      <c r="B13" s="4" t="s">
        <v>142</v>
      </c>
      <c r="C13" s="34" t="s">
        <v>120</v>
      </c>
      <c r="D13" s="7" t="s">
        <v>128</v>
      </c>
      <c r="E13" s="7" t="s">
        <v>140</v>
      </c>
      <c r="F13" s="7" t="s">
        <v>141</v>
      </c>
      <c r="G13" s="7"/>
      <c r="H13" s="7"/>
      <c r="I13" s="7"/>
      <c r="J13" s="7"/>
      <c r="K13" s="7"/>
      <c r="L13" s="7"/>
    </row>
    <row r="14" spans="1:12" ht="140">
      <c r="A14" s="35" t="s">
        <v>44</v>
      </c>
      <c r="B14" s="4" t="s">
        <v>228</v>
      </c>
      <c r="C14" s="33" t="s">
        <v>113</v>
      </c>
      <c r="D14" s="7" t="s">
        <v>128</v>
      </c>
      <c r="E14" s="7"/>
      <c r="F14" s="7"/>
      <c r="G14" s="7"/>
      <c r="H14" s="7"/>
      <c r="I14" s="7"/>
      <c r="J14" s="7"/>
      <c r="K14" s="7"/>
      <c r="L14" s="7"/>
    </row>
    <row r="15" spans="1:12" ht="224">
      <c r="A15" s="3" t="s">
        <v>45</v>
      </c>
      <c r="B15" s="4" t="s">
        <v>143</v>
      </c>
      <c r="C15" s="4"/>
      <c r="D15" s="7" t="s">
        <v>128</v>
      </c>
      <c r="E15" s="7" t="s">
        <v>144</v>
      </c>
      <c r="F15" s="7"/>
      <c r="G15" s="7"/>
      <c r="H15" s="7"/>
      <c r="I15" s="7"/>
      <c r="J15" s="7"/>
      <c r="K15" s="7"/>
      <c r="L15" s="7"/>
    </row>
    <row r="16" spans="1:12" ht="182">
      <c r="A16" s="22" t="s">
        <v>46</v>
      </c>
      <c r="B16" s="4" t="s">
        <v>200</v>
      </c>
      <c r="C16" s="4" t="s">
        <v>98</v>
      </c>
      <c r="D16" s="7" t="s">
        <v>128</v>
      </c>
      <c r="E16" s="7" t="s">
        <v>199</v>
      </c>
      <c r="F16" s="7"/>
      <c r="G16" s="7"/>
      <c r="H16" s="7"/>
      <c r="I16" s="7"/>
      <c r="J16" s="7"/>
      <c r="K16" s="7"/>
      <c r="L16" s="7"/>
    </row>
    <row r="17" spans="1:12" ht="238">
      <c r="A17" s="22" t="s">
        <v>47</v>
      </c>
      <c r="B17" s="4" t="s">
        <v>201</v>
      </c>
      <c r="C17" s="4" t="s">
        <v>99</v>
      </c>
      <c r="D17" s="7" t="s">
        <v>128</v>
      </c>
      <c r="E17" s="7" t="s">
        <v>202</v>
      </c>
      <c r="F17" s="7"/>
      <c r="G17" s="7"/>
      <c r="H17" s="7"/>
      <c r="I17" s="7"/>
      <c r="J17" s="7"/>
      <c r="K17" s="7"/>
      <c r="L17" s="7"/>
    </row>
    <row r="18" spans="1:12" ht="238">
      <c r="A18" s="3" t="s">
        <v>48</v>
      </c>
      <c r="B18" s="4" t="s">
        <v>203</v>
      </c>
      <c r="C18" s="4" t="s">
        <v>101</v>
      </c>
      <c r="D18" s="7" t="s">
        <v>128</v>
      </c>
      <c r="E18" s="7"/>
      <c r="F18" s="7"/>
      <c r="G18" s="7"/>
      <c r="H18" s="7"/>
      <c r="I18" s="7"/>
      <c r="J18" s="7"/>
      <c r="K18" s="7"/>
      <c r="L18" s="7"/>
    </row>
    <row r="19" spans="1:12" ht="238">
      <c r="A19" s="3" t="s">
        <v>49</v>
      </c>
      <c r="B19" s="4" t="s">
        <v>204</v>
      </c>
      <c r="C19" s="4" t="s">
        <v>101</v>
      </c>
      <c r="D19" s="7" t="s">
        <v>128</v>
      </c>
      <c r="E19" s="7"/>
      <c r="F19" s="7"/>
      <c r="G19" s="7"/>
      <c r="H19" s="7"/>
      <c r="I19" s="7"/>
      <c r="J19" s="7"/>
      <c r="K19" s="7"/>
      <c r="L19" s="7"/>
    </row>
    <row r="20" spans="1:12" ht="345">
      <c r="A20" s="3" t="s">
        <v>50</v>
      </c>
      <c r="B20" s="4" t="s">
        <v>239</v>
      </c>
      <c r="C20" s="4" t="s">
        <v>114</v>
      </c>
      <c r="D20" s="7" t="s">
        <v>128</v>
      </c>
      <c r="E20" s="7"/>
      <c r="F20" s="7"/>
      <c r="G20" s="7"/>
      <c r="H20" s="7"/>
      <c r="I20" s="7"/>
      <c r="J20" s="7"/>
      <c r="K20" s="7"/>
      <c r="L20" s="7"/>
    </row>
    <row r="21" spans="1:12" ht="409.6">
      <c r="A21" s="3" t="s">
        <v>51</v>
      </c>
      <c r="B21" s="4" t="s">
        <v>240</v>
      </c>
      <c r="C21" s="4" t="s">
        <v>100</v>
      </c>
      <c r="D21" s="7" t="s">
        <v>128</v>
      </c>
      <c r="E21" s="7"/>
      <c r="F21" s="7"/>
      <c r="G21" s="7"/>
      <c r="H21" s="7"/>
      <c r="I21" s="7"/>
      <c r="J21" s="7"/>
      <c r="K21" s="7"/>
      <c r="L21" s="7"/>
    </row>
    <row r="22" spans="1:12" ht="182">
      <c r="A22" s="3" t="s">
        <v>52</v>
      </c>
      <c r="B22" s="4" t="s">
        <v>205</v>
      </c>
      <c r="C22" s="4"/>
      <c r="D22" s="27" t="s">
        <v>128</v>
      </c>
      <c r="E22" s="7"/>
      <c r="F22" s="7"/>
      <c r="G22" s="7"/>
      <c r="H22" s="7"/>
      <c r="I22" s="7"/>
      <c r="J22" s="7"/>
      <c r="K22" s="7"/>
      <c r="L22" s="7"/>
    </row>
    <row r="23" spans="1:12" ht="196">
      <c r="A23" s="3" t="s">
        <v>53</v>
      </c>
      <c r="B23" s="4" t="s">
        <v>206</v>
      </c>
      <c r="C23" s="4"/>
      <c r="D23" s="7" t="s">
        <v>128</v>
      </c>
      <c r="E23" s="7"/>
      <c r="F23" s="7"/>
      <c r="G23" s="7"/>
      <c r="H23" s="7"/>
      <c r="I23" s="7"/>
      <c r="J23" s="7"/>
      <c r="K23" s="7"/>
      <c r="L23" s="7"/>
    </row>
    <row r="24" spans="1:12" ht="409.6">
      <c r="A24" s="3" t="s">
        <v>54</v>
      </c>
      <c r="B24" s="4" t="s">
        <v>207</v>
      </c>
      <c r="C24" s="4"/>
      <c r="D24" s="7" t="s">
        <v>208</v>
      </c>
      <c r="E24" s="7"/>
      <c r="F24" s="7"/>
      <c r="G24" s="7"/>
      <c r="H24" s="7"/>
      <c r="I24" s="7"/>
      <c r="J24" s="7"/>
      <c r="K24" s="7"/>
      <c r="L24" s="7"/>
    </row>
    <row r="25" spans="1:12" ht="409.6">
      <c r="A25" s="3" t="s">
        <v>55</v>
      </c>
      <c r="B25" s="4" t="s">
        <v>231</v>
      </c>
      <c r="C25" s="4"/>
      <c r="D25" s="7" t="s">
        <v>208</v>
      </c>
      <c r="E25" s="7" t="s">
        <v>209</v>
      </c>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37"/>
  <sheetViews>
    <sheetView tabSelected="1" topLeftCell="A22" zoomScale="130" zoomScaleNormal="130" workbookViewId="0">
      <selection activeCell="B22" sqref="B22"/>
    </sheetView>
  </sheetViews>
  <sheetFormatPr baseColWidth="10" defaultColWidth="12.6640625" defaultRowHeight="13"/>
  <cols>
    <col min="1" max="3" width="59.6640625" customWidth="1"/>
  </cols>
  <sheetData>
    <row r="1" spans="1:16">
      <c r="A1" s="23" t="s">
        <v>91</v>
      </c>
      <c r="B1" s="27"/>
      <c r="C1" s="15"/>
      <c r="D1" s="4"/>
      <c r="E1" s="4"/>
      <c r="F1" s="7"/>
      <c r="G1" s="7"/>
    </row>
    <row r="2" spans="1:16">
      <c r="A2" s="18" t="s">
        <v>93</v>
      </c>
      <c r="B2" s="27"/>
      <c r="C2" s="15"/>
      <c r="D2" s="4"/>
      <c r="E2" s="4"/>
      <c r="F2" s="7"/>
      <c r="G2" s="7"/>
    </row>
    <row r="3" spans="1:16" ht="14">
      <c r="A3" s="25" t="s">
        <v>112</v>
      </c>
      <c r="B3" s="27"/>
      <c r="C3" s="15"/>
      <c r="D3" s="4"/>
      <c r="E3" s="4"/>
      <c r="F3" s="7"/>
      <c r="G3" s="7"/>
    </row>
    <row r="4" spans="1:16" ht="14">
      <c r="A4" s="1" t="s">
        <v>0</v>
      </c>
      <c r="B4" s="13"/>
      <c r="C4" s="13"/>
      <c r="D4" s="4"/>
      <c r="E4" s="4"/>
      <c r="F4" s="7"/>
      <c r="G4" s="7"/>
    </row>
    <row r="5" spans="1:16" ht="14">
      <c r="A5" s="8" t="s">
        <v>56</v>
      </c>
      <c r="B5" s="9"/>
      <c r="C5" s="9"/>
      <c r="D5" s="11"/>
      <c r="E5" s="11"/>
      <c r="F5" s="11"/>
      <c r="G5" s="11"/>
      <c r="H5" s="11"/>
      <c r="I5" s="11"/>
      <c r="J5" s="11"/>
      <c r="K5" s="11"/>
      <c r="L5" s="11"/>
      <c r="M5" s="11"/>
      <c r="N5" s="11"/>
      <c r="O5" s="11"/>
      <c r="P5" s="11"/>
    </row>
    <row r="6" spans="1:16" ht="28">
      <c r="A6" s="16" t="s">
        <v>57</v>
      </c>
      <c r="B6" s="4"/>
      <c r="C6" s="4" t="s">
        <v>110</v>
      </c>
      <c r="D6" s="7"/>
      <c r="E6" s="7"/>
      <c r="F6" s="7"/>
      <c r="G6" s="7"/>
    </row>
    <row r="7" spans="1:16" ht="112">
      <c r="A7" s="22" t="s">
        <v>58</v>
      </c>
      <c r="B7" s="4" t="s">
        <v>145</v>
      </c>
      <c r="C7" s="27" t="s">
        <v>128</v>
      </c>
      <c r="D7" s="4" t="s">
        <v>146</v>
      </c>
      <c r="E7" s="7"/>
      <c r="F7" s="7"/>
      <c r="G7" s="7"/>
    </row>
    <row r="8" spans="1:16" ht="306">
      <c r="A8" s="3" t="s">
        <v>59</v>
      </c>
      <c r="B8" s="4" t="s">
        <v>147</v>
      </c>
      <c r="C8" s="4" t="s">
        <v>128</v>
      </c>
      <c r="D8" s="7"/>
      <c r="E8" s="7"/>
      <c r="F8" s="7"/>
      <c r="G8" s="7"/>
    </row>
    <row r="9" spans="1:16" ht="98">
      <c r="A9" s="3" t="s">
        <v>60</v>
      </c>
      <c r="B9" s="4" t="s">
        <v>148</v>
      </c>
      <c r="C9" s="27" t="s">
        <v>128</v>
      </c>
      <c r="D9" s="4"/>
      <c r="E9" s="7"/>
      <c r="F9" s="7"/>
      <c r="G9" s="7"/>
    </row>
    <row r="10" spans="1:16" ht="224">
      <c r="A10" s="3" t="s">
        <v>61</v>
      </c>
      <c r="B10" s="4" t="s">
        <v>156</v>
      </c>
      <c r="C10" s="4" t="s">
        <v>128</v>
      </c>
      <c r="D10" s="7" t="s">
        <v>155</v>
      </c>
      <c r="E10" s="7"/>
      <c r="F10" s="7"/>
      <c r="G10" s="7"/>
    </row>
    <row r="11" spans="1:16" ht="182">
      <c r="A11" s="3" t="s">
        <v>62</v>
      </c>
      <c r="B11" s="4" t="s">
        <v>149</v>
      </c>
      <c r="C11" s="4" t="s">
        <v>128</v>
      </c>
      <c r="D11" s="7"/>
      <c r="E11" s="7"/>
      <c r="F11" s="7"/>
      <c r="G11" s="7"/>
    </row>
    <row r="12" spans="1:16" ht="210">
      <c r="A12" s="3" t="s">
        <v>63</v>
      </c>
      <c r="B12" s="4" t="s">
        <v>187</v>
      </c>
      <c r="C12" s="4" t="s">
        <v>128</v>
      </c>
      <c r="D12" s="7"/>
      <c r="E12" s="7"/>
      <c r="F12" s="7"/>
      <c r="G12" s="7"/>
    </row>
    <row r="13" spans="1:16" ht="98">
      <c r="A13" s="3" t="s">
        <v>64</v>
      </c>
      <c r="B13" s="4" t="s">
        <v>210</v>
      </c>
      <c r="C13" s="4" t="s">
        <v>128</v>
      </c>
      <c r="D13" s="7"/>
      <c r="E13" s="7"/>
      <c r="F13" s="7"/>
      <c r="G13" s="7"/>
    </row>
    <row r="14" spans="1:16" ht="196">
      <c r="A14" s="3" t="s">
        <v>65</v>
      </c>
      <c r="B14" s="4" t="s">
        <v>150</v>
      </c>
      <c r="C14" s="4" t="s">
        <v>128</v>
      </c>
      <c r="D14" s="7"/>
      <c r="E14" s="7"/>
      <c r="F14" s="7"/>
      <c r="G14" s="7"/>
    </row>
    <row r="15" spans="1:16" ht="196">
      <c r="A15" s="3" t="s">
        <v>66</v>
      </c>
      <c r="B15" s="4" t="s">
        <v>151</v>
      </c>
      <c r="C15" s="4" t="s">
        <v>128</v>
      </c>
      <c r="D15" s="7"/>
      <c r="E15" s="7"/>
      <c r="F15" s="7"/>
      <c r="G15" s="7"/>
    </row>
    <row r="16" spans="1:16" ht="182">
      <c r="A16" s="3" t="s">
        <v>67</v>
      </c>
      <c r="B16" s="4" t="s">
        <v>153</v>
      </c>
      <c r="C16" s="4" t="s">
        <v>128</v>
      </c>
      <c r="D16" s="7" t="s">
        <v>152</v>
      </c>
      <c r="E16" s="7"/>
      <c r="F16" s="7"/>
      <c r="G16" s="7"/>
    </row>
    <row r="17" spans="1:7" ht="182">
      <c r="A17" s="3" t="s">
        <v>68</v>
      </c>
      <c r="B17" s="4" t="s">
        <v>154</v>
      </c>
      <c r="C17" s="4" t="s">
        <v>128</v>
      </c>
      <c r="D17" s="7"/>
      <c r="E17" s="7"/>
      <c r="F17" s="7"/>
      <c r="G17" s="7"/>
    </row>
    <row r="18" spans="1:7" ht="154">
      <c r="A18" s="22" t="s">
        <v>69</v>
      </c>
      <c r="B18" s="4" t="s">
        <v>188</v>
      </c>
      <c r="C18" s="4" t="s">
        <v>208</v>
      </c>
      <c r="D18" s="4" t="s">
        <v>212</v>
      </c>
      <c r="E18" s="7"/>
      <c r="F18" s="7"/>
      <c r="G18" s="7"/>
    </row>
    <row r="19" spans="1:7" ht="293">
      <c r="A19" s="3" t="s">
        <v>70</v>
      </c>
      <c r="B19" s="4" t="s">
        <v>226</v>
      </c>
      <c r="C19" s="4" t="s">
        <v>208</v>
      </c>
      <c r="D19" s="7" t="s">
        <v>211</v>
      </c>
      <c r="E19" s="7"/>
      <c r="F19" s="7"/>
      <c r="G19" s="7"/>
    </row>
    <row r="20" spans="1:7" ht="140">
      <c r="A20" s="3" t="s">
        <v>71</v>
      </c>
      <c r="B20" s="4" t="s">
        <v>213</v>
      </c>
      <c r="C20" s="4" t="s">
        <v>128</v>
      </c>
      <c r="D20" s="7"/>
      <c r="E20" s="7"/>
      <c r="F20" s="7"/>
      <c r="G20" s="7"/>
    </row>
    <row r="21" spans="1:7" ht="409.6">
      <c r="A21" s="32" t="s">
        <v>72</v>
      </c>
      <c r="B21" s="17" t="s">
        <v>242</v>
      </c>
      <c r="C21" s="17" t="s">
        <v>128</v>
      </c>
      <c r="D21" s="7" t="s">
        <v>214</v>
      </c>
      <c r="F21" s="7"/>
      <c r="G21" s="7"/>
    </row>
    <row r="22" spans="1:7" ht="409.6">
      <c r="A22" s="3" t="s">
        <v>73</v>
      </c>
      <c r="B22" s="4" t="s">
        <v>241</v>
      </c>
      <c r="C22" s="4" t="s">
        <v>128</v>
      </c>
      <c r="D22" s="7" t="s">
        <v>214</v>
      </c>
      <c r="E22" s="7"/>
      <c r="F22" s="7"/>
      <c r="G22" s="7"/>
    </row>
    <row r="23" spans="1:7" ht="126">
      <c r="A23" s="3" t="s">
        <v>122</v>
      </c>
      <c r="B23" s="4" t="s">
        <v>215</v>
      </c>
      <c r="C23" s="4" t="s">
        <v>128</v>
      </c>
      <c r="D23" s="7"/>
      <c r="E23" s="7"/>
      <c r="F23" s="7"/>
      <c r="G23" s="7"/>
    </row>
    <row r="24" spans="1:7" ht="14">
      <c r="A24" s="12" t="s">
        <v>74</v>
      </c>
      <c r="B24" s="20"/>
      <c r="C24" s="20"/>
      <c r="D24" s="7"/>
      <c r="E24" s="7"/>
      <c r="F24" s="7"/>
      <c r="G24" s="7"/>
    </row>
    <row r="25" spans="1:7" ht="14">
      <c r="A25" s="12" t="s">
        <v>75</v>
      </c>
      <c r="B25" s="20"/>
      <c r="C25" s="20"/>
      <c r="D25" s="7"/>
      <c r="E25" s="7"/>
      <c r="F25" s="7"/>
      <c r="G25" s="7"/>
    </row>
    <row r="26" spans="1:7">
      <c r="A26" s="7"/>
      <c r="B26" s="7"/>
      <c r="C26" s="7"/>
    </row>
    <row r="27" spans="1:7">
      <c r="A27" s="7"/>
      <c r="B27" s="7"/>
      <c r="C27" s="7"/>
    </row>
    <row r="28" spans="1:7">
      <c r="A28" s="7"/>
      <c r="B28" s="7"/>
      <c r="C28" s="7"/>
    </row>
    <row r="29" spans="1:7">
      <c r="A29" s="7"/>
      <c r="B29" s="7"/>
      <c r="C29" s="7"/>
    </row>
    <row r="30" spans="1:7">
      <c r="A30" s="7"/>
      <c r="B30" s="7"/>
      <c r="C30" s="7"/>
    </row>
    <row r="31" spans="1:7">
      <c r="A31" s="7"/>
      <c r="B31" s="7"/>
      <c r="C31" s="7"/>
    </row>
    <row r="32" spans="1:7">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Land Use and Zoning</vt:lpstr>
      <vt:lpstr>Development Feasibility</vt:lpstr>
      <vt:lpstr>Development Desirability (Quali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Megan Katsumi</cp:lastModifiedBy>
  <dcterms:created xsi:type="dcterms:W3CDTF">2025-10-17T18:03:44Z</dcterms:created>
  <dcterms:modified xsi:type="dcterms:W3CDTF">2026-04-13T23:59:57Z</dcterms:modified>
</cp:coreProperties>
</file>